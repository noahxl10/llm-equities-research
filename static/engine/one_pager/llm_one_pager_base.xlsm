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oahalex/develop/grandeurpeak/gpllm-core/static/engine/one_pager/"/>
    </mc:Choice>
  </mc:AlternateContent>
  <xr:revisionPtr revIDLastSave="0" documentId="13_ncr:1_{C5085135-E9CB-2642-AB5D-EFBA9C68D31E}" xr6:coauthVersionLast="47" xr6:coauthVersionMax="47" xr10:uidLastSave="{00000000-0000-0000-0000-000000000000}"/>
  <bookViews>
    <workbookView xWindow="60" yWindow="760" windowWidth="29900" windowHeight="17600" tabRatio="801" xr2:uid="{00000000-000D-0000-FFFF-FFFF00000000}"/>
  </bookViews>
  <sheets>
    <sheet name="LLM" sheetId="1" r:id="rId1"/>
    <sheet name="quantitative answers" sheetId="2" r:id="rId2"/>
    <sheet name="gp dupont" sheetId="3" r:id="rId3"/>
    <sheet name="summary dupont" sheetId="4" r:id="rId4"/>
    <sheet name="momentum" sheetId="5" r:id="rId5"/>
    <sheet name="pedigree" sheetId="6" r:id="rId6"/>
  </sheets>
  <definedNames>
    <definedName name="_xlnm._FilterDatabase" localSheetId="5" hidden="1">pedigree!$B$2:$C$2</definedName>
    <definedName name="_xlnm.Print_Area" localSheetId="2">'gp dupont'!$A$1:$AS$99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" i="2" l="1"/>
  <c r="BC139" i="1"/>
  <c r="BD139" i="1" s="1"/>
  <c r="BE139" i="1" s="1"/>
  <c r="BA139" i="1"/>
  <c r="BE138" i="1"/>
  <c r="BD138" i="1"/>
  <c r="BA138" i="1"/>
  <c r="AI138" i="1"/>
  <c r="BE137" i="1"/>
  <c r="BD137" i="1"/>
  <c r="BA137" i="1"/>
  <c r="AI137" i="1"/>
  <c r="BD136" i="1"/>
  <c r="BE136" i="1" s="1"/>
  <c r="BC136" i="1"/>
  <c r="BA136" i="1"/>
  <c r="O136" i="1"/>
  <c r="BD135" i="1"/>
  <c r="BE135" i="1" s="1"/>
  <c r="BC135" i="1"/>
  <c r="BA135" i="1"/>
  <c r="AI135" i="1"/>
  <c r="BD134" i="1"/>
  <c r="BA134" i="1"/>
  <c r="BE134" i="1" s="1"/>
  <c r="AI134" i="1"/>
  <c r="BE133" i="1"/>
  <c r="BD133" i="1"/>
  <c r="BA133" i="1"/>
  <c r="AI133" i="1"/>
  <c r="BC132" i="1"/>
  <c r="BD132" i="1" s="1"/>
  <c r="BE132" i="1" s="1"/>
  <c r="BA132" i="1"/>
  <c r="O132" i="1"/>
  <c r="BC131" i="1"/>
  <c r="BD131" i="1" s="1"/>
  <c r="BE131" i="1" s="1"/>
  <c r="BA131" i="1"/>
  <c r="AI131" i="1"/>
  <c r="BD130" i="1"/>
  <c r="BA130" i="1"/>
  <c r="BE130" i="1" s="1"/>
  <c r="AI130" i="1"/>
  <c r="BE129" i="1"/>
  <c r="BD129" i="1"/>
  <c r="BA129" i="1"/>
  <c r="AI129" i="1"/>
  <c r="BC128" i="1"/>
  <c r="BD128" i="1" s="1"/>
  <c r="BE128" i="1" s="1"/>
  <c r="BA128" i="1"/>
  <c r="O128" i="1"/>
  <c r="BE127" i="1"/>
  <c r="BD127" i="1"/>
  <c r="BC127" i="1"/>
  <c r="BA127" i="1"/>
  <c r="AI127" i="1"/>
  <c r="BE126" i="1"/>
  <c r="BD126" i="1"/>
  <c r="BA126" i="1"/>
  <c r="AI126" i="1"/>
  <c r="BD125" i="1"/>
  <c r="BA125" i="1"/>
  <c r="BE125" i="1" s="1"/>
  <c r="AI125" i="1"/>
  <c r="BC124" i="1"/>
  <c r="BD124" i="1" s="1"/>
  <c r="BE124" i="1" s="1"/>
  <c r="BA124" i="1"/>
  <c r="O124" i="1"/>
  <c r="BD123" i="1"/>
  <c r="BE123" i="1" s="1"/>
  <c r="BC123" i="1"/>
  <c r="BA123" i="1"/>
  <c r="AI123" i="1"/>
  <c r="BE122" i="1"/>
  <c r="BD122" i="1"/>
  <c r="BA122" i="1"/>
  <c r="AI122" i="1"/>
  <c r="BD121" i="1"/>
  <c r="BA121" i="1"/>
  <c r="BE121" i="1" s="1"/>
  <c r="AI121" i="1"/>
  <c r="BD120" i="1"/>
  <c r="BE120" i="1" s="1"/>
  <c r="BC120" i="1"/>
  <c r="BA120" i="1"/>
  <c r="O120" i="1"/>
  <c r="BD119" i="1"/>
  <c r="BE119" i="1" s="1"/>
  <c r="BC119" i="1"/>
  <c r="BA119" i="1"/>
  <c r="AI119" i="1"/>
  <c r="BD118" i="1"/>
  <c r="BA118" i="1"/>
  <c r="BE118" i="1" s="1"/>
  <c r="AI118" i="1"/>
  <c r="BE117" i="1"/>
  <c r="BD117" i="1"/>
  <c r="BA117" i="1"/>
  <c r="AI117" i="1"/>
  <c r="BC116" i="1"/>
  <c r="BD116" i="1" s="1"/>
  <c r="BE116" i="1" s="1"/>
  <c r="BA116" i="1"/>
  <c r="O116" i="1"/>
  <c r="BC115" i="1"/>
  <c r="BD115" i="1" s="1"/>
  <c r="BE115" i="1" s="1"/>
  <c r="BA115" i="1"/>
  <c r="AH115" i="1"/>
  <c r="AI115" i="1" s="1"/>
  <c r="BE114" i="1"/>
  <c r="BD114" i="1"/>
  <c r="BA114" i="1"/>
  <c r="AH114" i="1"/>
  <c r="AI114" i="1" s="1"/>
  <c r="BD113" i="1"/>
  <c r="BA113" i="1"/>
  <c r="BE113" i="1" s="1"/>
  <c r="AI113" i="1"/>
  <c r="BC112" i="1"/>
  <c r="BD112" i="1" s="1"/>
  <c r="BE112" i="1" s="1"/>
  <c r="BA112" i="1"/>
  <c r="O112" i="1"/>
  <c r="BC111" i="1"/>
  <c r="BD111" i="1" s="1"/>
  <c r="BE111" i="1" s="1"/>
  <c r="BA111" i="1"/>
  <c r="BE110" i="1"/>
  <c r="BD110" i="1"/>
  <c r="BA110" i="1"/>
  <c r="BE109" i="1"/>
  <c r="BD109" i="1"/>
  <c r="BA109" i="1"/>
  <c r="AI109" i="1"/>
  <c r="AH109" i="1"/>
  <c r="BC108" i="1"/>
  <c r="BD108" i="1" s="1"/>
  <c r="BE108" i="1" s="1"/>
  <c r="BA108" i="1"/>
  <c r="O108" i="1"/>
  <c r="BD107" i="1"/>
  <c r="BE107" i="1" s="1"/>
  <c r="BC107" i="1"/>
  <c r="BA107" i="1"/>
  <c r="BE106" i="1"/>
  <c r="BD106" i="1"/>
  <c r="BA106" i="1"/>
  <c r="BD105" i="1"/>
  <c r="BA105" i="1"/>
  <c r="BE105" i="1" s="1"/>
  <c r="AI105" i="1"/>
  <c r="BC104" i="1"/>
  <c r="BD104" i="1" s="1"/>
  <c r="BE104" i="1" s="1"/>
  <c r="O104" i="1"/>
  <c r="BC103" i="1"/>
  <c r="BD103" i="1" s="1"/>
  <c r="BE103" i="1" s="1"/>
  <c r="BA103" i="1"/>
  <c r="AI103" i="1"/>
  <c r="BE102" i="1"/>
  <c r="BD102" i="1"/>
  <c r="BA102" i="1"/>
  <c r="AI102" i="1"/>
  <c r="BE101" i="1"/>
  <c r="BD101" i="1"/>
  <c r="BA101" i="1"/>
  <c r="AI101" i="1"/>
  <c r="BE100" i="1"/>
  <c r="BD100" i="1"/>
  <c r="BC100" i="1"/>
  <c r="BA100" i="1"/>
  <c r="O100" i="1"/>
  <c r="BC99" i="1"/>
  <c r="BD99" i="1" s="1"/>
  <c r="BE99" i="1" s="1"/>
  <c r="BA99" i="1"/>
  <c r="AI99" i="1"/>
  <c r="BD98" i="1"/>
  <c r="BA98" i="1"/>
  <c r="BE98" i="1" s="1"/>
  <c r="AI98" i="1"/>
  <c r="BD97" i="1"/>
  <c r="BA97" i="1"/>
  <c r="BE97" i="1" s="1"/>
  <c r="AI97" i="1"/>
  <c r="BC96" i="1"/>
  <c r="BD96" i="1" s="1"/>
  <c r="BE96" i="1" s="1"/>
  <c r="BA96" i="1"/>
  <c r="O96" i="1"/>
  <c r="BD95" i="1"/>
  <c r="BE95" i="1" s="1"/>
  <c r="BC95" i="1"/>
  <c r="BA95" i="1"/>
  <c r="AI95" i="1"/>
  <c r="BE94" i="1"/>
  <c r="BD94" i="1"/>
  <c r="BA94" i="1"/>
  <c r="AI94" i="1"/>
  <c r="BE93" i="1"/>
  <c r="BD93" i="1"/>
  <c r="BA93" i="1"/>
  <c r="AI93" i="1"/>
  <c r="BD92" i="1"/>
  <c r="BE92" i="1" s="1"/>
  <c r="BC92" i="1"/>
  <c r="BA92" i="1"/>
  <c r="O92" i="1"/>
  <c r="BC91" i="1"/>
  <c r="BD91" i="1" s="1"/>
  <c r="BE91" i="1" s="1"/>
  <c r="BA91" i="1"/>
  <c r="AI91" i="1"/>
  <c r="BD90" i="1"/>
  <c r="BA90" i="1"/>
  <c r="BE90" i="1" s="1"/>
  <c r="AI90" i="1"/>
  <c r="BD89" i="1"/>
  <c r="BA89" i="1"/>
  <c r="BE89" i="1" s="1"/>
  <c r="AI89" i="1"/>
  <c r="BC88" i="1"/>
  <c r="BD88" i="1" s="1"/>
  <c r="BE88" i="1" s="1"/>
  <c r="BA88" i="1"/>
  <c r="O88" i="1"/>
  <c r="BC87" i="1"/>
  <c r="BD87" i="1" s="1"/>
  <c r="BE87" i="1" s="1"/>
  <c r="BA87" i="1"/>
  <c r="AI87" i="1"/>
  <c r="BE86" i="1"/>
  <c r="BD86" i="1"/>
  <c r="BA86" i="1"/>
  <c r="AI86" i="1"/>
  <c r="BE85" i="1"/>
  <c r="BD85" i="1"/>
  <c r="BA85" i="1"/>
  <c r="AI85" i="1"/>
  <c r="BE84" i="1"/>
  <c r="BD84" i="1"/>
  <c r="BC84" i="1"/>
  <c r="BA84" i="1"/>
  <c r="O84" i="1"/>
  <c r="BC83" i="1"/>
  <c r="BD83" i="1" s="1"/>
  <c r="BE83" i="1" s="1"/>
  <c r="BA83" i="1"/>
  <c r="AI83" i="1"/>
  <c r="BD82" i="1"/>
  <c r="BA82" i="1"/>
  <c r="BE82" i="1" s="1"/>
  <c r="AI82" i="1"/>
  <c r="BD81" i="1"/>
  <c r="BA81" i="1"/>
  <c r="BE81" i="1" s="1"/>
  <c r="AI81" i="1"/>
  <c r="AH81" i="1"/>
  <c r="BC80" i="1"/>
  <c r="BD80" i="1" s="1"/>
  <c r="BE80" i="1" s="1"/>
  <c r="BA80" i="1"/>
  <c r="O80" i="1"/>
  <c r="BE79" i="1"/>
  <c r="BD79" i="1"/>
  <c r="BC79" i="1"/>
  <c r="BA79" i="1"/>
  <c r="AI79" i="1"/>
  <c r="BE78" i="1"/>
  <c r="BD78" i="1"/>
  <c r="BA78" i="1"/>
  <c r="AI78" i="1"/>
  <c r="BD77" i="1"/>
  <c r="BA77" i="1"/>
  <c r="BE77" i="1" s="1"/>
  <c r="AI77" i="1"/>
  <c r="BC76" i="1"/>
  <c r="BD76" i="1" s="1"/>
  <c r="BE76" i="1" s="1"/>
  <c r="BA76" i="1"/>
  <c r="O76" i="1"/>
  <c r="BC75" i="1"/>
  <c r="BD75" i="1" s="1"/>
  <c r="BE75" i="1" s="1"/>
  <c r="BA75" i="1"/>
  <c r="AH75" i="1"/>
  <c r="AI75" i="1" s="1"/>
  <c r="BE74" i="1"/>
  <c r="BD74" i="1"/>
  <c r="BA74" i="1"/>
  <c r="AH74" i="1"/>
  <c r="AI74" i="1" s="1"/>
  <c r="BE73" i="1"/>
  <c r="BD73" i="1"/>
  <c r="BA73" i="1"/>
  <c r="AI73" i="1"/>
  <c r="AH73" i="1"/>
  <c r="BC72" i="1"/>
  <c r="BD72" i="1" s="1"/>
  <c r="BE72" i="1" s="1"/>
  <c r="BA72" i="1"/>
  <c r="O72" i="1"/>
  <c r="BD71" i="1"/>
  <c r="BE71" i="1" s="1"/>
  <c r="BC71" i="1"/>
  <c r="BA71" i="1"/>
  <c r="AI71" i="1"/>
  <c r="BE70" i="1"/>
  <c r="BD70" i="1"/>
  <c r="BA70" i="1"/>
  <c r="AI70" i="1"/>
  <c r="BE69" i="1"/>
  <c r="BD69" i="1"/>
  <c r="BA69" i="1"/>
  <c r="BC68" i="1"/>
  <c r="BD68" i="1" s="1"/>
  <c r="BE68" i="1" s="1"/>
  <c r="BA68" i="1"/>
  <c r="O68" i="1"/>
  <c r="BC67" i="1"/>
  <c r="BD67" i="1" s="1"/>
  <c r="BE67" i="1" s="1"/>
  <c r="BA67" i="1"/>
  <c r="AH67" i="1"/>
  <c r="AI67" i="1" s="1"/>
  <c r="BE66" i="1"/>
  <c r="BD66" i="1"/>
  <c r="BA66" i="1"/>
  <c r="AH66" i="1"/>
  <c r="BA104" i="1" s="1"/>
  <c r="BE65" i="1"/>
  <c r="BD65" i="1"/>
  <c r="BA65" i="1"/>
  <c r="AI65" i="1"/>
  <c r="AH65" i="1"/>
  <c r="BC64" i="1"/>
  <c r="BD64" i="1" s="1"/>
  <c r="BE64" i="1" s="1"/>
  <c r="BA64" i="1"/>
  <c r="O64" i="1"/>
  <c r="BD63" i="1"/>
  <c r="BE63" i="1" s="1"/>
  <c r="BC63" i="1"/>
  <c r="BA63" i="1"/>
  <c r="AH63" i="1"/>
  <c r="AI63" i="1" s="1"/>
  <c r="BE62" i="1"/>
  <c r="BD62" i="1"/>
  <c r="BA62" i="1"/>
  <c r="AI62" i="1"/>
  <c r="AH62" i="1"/>
  <c r="BD61" i="1"/>
  <c r="BA61" i="1"/>
  <c r="BE61" i="1" s="1"/>
  <c r="AI61" i="1"/>
  <c r="AH61" i="1"/>
  <c r="BD60" i="1"/>
  <c r="BE60" i="1" s="1"/>
  <c r="BC60" i="1"/>
  <c r="BA60" i="1"/>
  <c r="O60" i="1"/>
  <c r="AI66" i="1" l="1"/>
  <c r="AJ105" i="3" l="1" a="1"/>
  <c r="AJ105" i="3" s="1"/>
  <c r="AL105" i="3" a="1"/>
  <c r="AL105" i="3" s="1"/>
  <c r="AH8" i="3" a="1"/>
  <c r="AH8" i="3" s="1"/>
  <c r="AF105" i="3" a="1"/>
  <c r="AF105" i="3" s="1"/>
  <c r="AI8" i="3" a="1"/>
  <c r="AI8" i="3" s="1"/>
  <c r="AH105" i="3" a="1"/>
  <c r="AH105" i="3" s="1"/>
  <c r="AJ106" i="3" a="1"/>
  <c r="AJ106" i="3" s="1"/>
  <c r="AI9" i="3" a="1"/>
  <c r="AI9" i="3" s="1"/>
  <c r="AF106" i="3" a="1"/>
  <c r="AF106" i="3" s="1"/>
  <c r="AH9" i="3" a="1"/>
  <c r="AH9" i="3" s="1"/>
  <c r="AL106" i="3" a="1"/>
  <c r="AL106" i="3" s="1"/>
  <c r="AH106" i="3" a="1"/>
  <c r="AH106" i="3" s="1"/>
  <c r="AJ104" i="3" a="1"/>
  <c r="AJ104" i="3" s="1"/>
  <c r="AI7" i="3" a="1"/>
  <c r="AI7" i="3" s="1"/>
  <c r="AH7" i="3" a="1"/>
  <c r="AH7" i="3" s="1"/>
  <c r="AH104" i="3" a="1"/>
  <c r="AH104" i="3" s="1"/>
  <c r="AF104" i="3" a="1"/>
  <c r="AF104" i="3" s="1"/>
  <c r="AI11" i="3" a="1"/>
  <c r="AI11" i="3" s="1"/>
  <c r="AF108" i="3" a="1"/>
  <c r="AF108" i="3" s="1"/>
  <c r="AJ108" i="3" a="1"/>
  <c r="AJ108" i="3" s="1"/>
  <c r="AH11" i="3" a="1"/>
  <c r="AH11" i="3" s="1"/>
  <c r="AL108" i="3" a="1"/>
  <c r="AL108" i="3" s="1"/>
  <c r="AH108" i="3" a="1"/>
  <c r="AH108" i="3" s="1"/>
  <c r="AL107" i="3" a="1"/>
  <c r="AL107" i="3" s="1"/>
  <c r="AH107" i="3" a="1"/>
  <c r="AH107" i="3" s="1"/>
  <c r="AI10" i="3" a="1"/>
  <c r="AI10" i="3" s="1"/>
  <c r="AF107" i="3" a="1"/>
  <c r="AF107" i="3" s="1"/>
  <c r="AJ107" i="3" a="1"/>
  <c r="AJ107" i="3" s="1"/>
  <c r="AH10" i="3" a="1"/>
  <c r="AH10" i="3" s="1"/>
  <c r="AC27" i="3" a="1"/>
  <c r="AC27" i="3" s="1"/>
  <c r="DJ27" i="3" a="1"/>
  <c r="DJ27" i="3" s="1"/>
  <c r="DJ28" i="3" a="1"/>
  <c r="DJ28" i="3" s="1"/>
  <c r="AC28" i="3" a="1"/>
  <c r="AC28" i="3" s="1"/>
  <c r="DJ29" i="3" a="1"/>
  <c r="DJ29" i="3" s="1"/>
  <c r="AC29" i="3" a="1"/>
  <c r="AC29" i="3" s="1"/>
  <c r="AC26" i="3" a="1"/>
  <c r="AC26" i="3" s="1"/>
  <c r="DJ26" i="3" a="1"/>
  <c r="DJ26" i="3" s="1"/>
  <c r="AC17" i="3" a="1"/>
  <c r="AC17" i="3" s="1"/>
  <c r="DJ17" i="3" a="1"/>
  <c r="DJ17" i="3" s="1"/>
  <c r="AC20" i="3" a="1"/>
  <c r="AC20" i="3" s="1"/>
  <c r="AC25" i="3" a="1"/>
  <c r="AC25" i="3" s="1"/>
  <c r="DJ20" i="3" a="1"/>
  <c r="DJ20" i="3" s="1"/>
  <c r="DJ25" i="3" a="1"/>
  <c r="DJ25" i="3" s="1"/>
  <c r="DJ30" i="3" a="1"/>
  <c r="DJ30" i="3" s="1"/>
  <c r="AC30" i="3" a="1"/>
  <c r="AC30" i="3" s="1"/>
  <c r="AC22" i="3" a="1"/>
  <c r="AC22" i="3" s="1"/>
  <c r="DJ22" i="3" a="1"/>
  <c r="DJ22" i="3" s="1"/>
  <c r="AC18" i="3" a="1"/>
  <c r="AC18" i="3" s="1"/>
  <c r="DJ18" i="3" a="1"/>
  <c r="DJ18" i="3" s="1"/>
  <c r="DJ24" i="3" a="1"/>
  <c r="DJ24" i="3" s="1"/>
  <c r="AC24" i="3" a="1"/>
  <c r="AC24" i="3" s="1"/>
  <c r="AC21" i="3" a="1"/>
  <c r="AC21" i="3" s="1"/>
  <c r="DJ21" i="3" a="1"/>
  <c r="DJ21" i="3" s="1"/>
  <c r="DJ19" i="3" a="1"/>
  <c r="DJ19" i="3" s="1"/>
  <c r="AC19" i="3" a="1"/>
  <c r="AC19" i="3" s="1"/>
  <c r="AC23" i="3" a="1"/>
  <c r="AC23" i="3" s="1"/>
  <c r="DJ23" i="3" a="1"/>
  <c r="DJ23" i="3" s="1"/>
  <c r="AS66" i="3" a="1"/>
  <c r="AS66" i="3" s="1"/>
  <c r="DM36" i="3" a="1"/>
  <c r="DM36" i="3" s="1"/>
  <c r="DL36" i="3" a="1"/>
  <c r="DL36" i="3" s="1"/>
  <c r="DL34" i="3" a="1"/>
  <c r="DL34" i="3" s="1"/>
  <c r="DM34" i="3" a="1"/>
  <c r="DM34" i="3" s="1"/>
  <c r="DL35" i="3" a="1"/>
  <c r="DL35" i="3" s="1"/>
  <c r="DM35" i="3" a="1"/>
  <c r="DM35" i="3" s="1"/>
  <c r="DM33" i="3" a="1"/>
  <c r="DM33" i="3" s="1"/>
  <c r="DL33" i="3" a="1"/>
  <c r="DL33" i="3" s="1"/>
  <c r="BW86" i="3" a="1"/>
  <c r="BW86" i="3" s="1"/>
  <c r="AA89" i="3" a="1"/>
  <c r="AA89" i="3" s="1"/>
  <c r="AC95" i="3" a="1"/>
  <c r="AC95" i="3" s="1"/>
  <c r="AC93" i="3" a="1"/>
  <c r="AC93" i="3" s="1"/>
  <c r="AA91" i="3" a="1"/>
  <c r="AA91" i="3" s="1"/>
  <c r="BQ86" i="3" a="1"/>
  <c r="BQ86" i="3" s="1"/>
  <c r="BR86" i="3" a="1"/>
  <c r="BR86" i="3" s="1"/>
  <c r="DM32" i="3" a="1"/>
  <c r="DM32" i="3" s="1"/>
  <c r="AW97" i="3" a="1"/>
  <c r="AW97" i="3" s="1"/>
  <c r="DL32" i="3" a="1"/>
  <c r="DL32" i="3" s="1"/>
  <c r="AX97" i="3" a="1"/>
  <c r="AX97" i="3" s="1"/>
  <c r="CG18" i="3" a="1"/>
  <c r="CG18" i="3" s="1"/>
  <c r="BH34" i="3" a="1"/>
  <c r="BH34" i="3" s="1"/>
  <c r="AA90" i="3" a="1"/>
  <c r="AA90" i="3" s="1"/>
  <c r="BH33" i="3" a="1"/>
  <c r="BH33" i="3" s="1"/>
  <c r="AY31" i="3" a="1"/>
  <c r="AY31" i="3" s="1"/>
  <c r="CW82" i="3" a="1"/>
  <c r="CW82" i="3" s="1"/>
  <c r="DC77" i="3" a="1"/>
  <c r="DC77" i="3" s="1"/>
  <c r="DI77" i="3" a="1"/>
  <c r="DI77" i="3" s="1"/>
  <c r="DC82" i="3" a="1"/>
  <c r="DC82" i="3" s="1"/>
  <c r="CO72" i="3" a="1"/>
  <c r="CO72" i="3" s="1"/>
  <c r="DH77" i="3" a="1"/>
  <c r="DH77" i="3" s="1"/>
  <c r="CR82" i="3" a="1"/>
  <c r="CR82" i="3" s="1"/>
  <c r="DG77" i="3" a="1"/>
  <c r="DG77" i="3" s="1"/>
  <c r="DC72" i="3" a="1"/>
  <c r="DC72" i="3" s="1"/>
  <c r="CO77" i="3" a="1"/>
  <c r="CO77" i="3" s="1"/>
  <c r="CV82" i="3" a="1"/>
  <c r="CV82" i="3" s="1"/>
  <c r="DF72" i="3" a="1"/>
  <c r="DF72" i="3" s="1"/>
  <c r="CR77" i="3" a="1"/>
  <c r="CR77" i="3" s="1"/>
  <c r="DF77" i="3" a="1"/>
  <c r="DF77" i="3" s="1"/>
  <c r="CO82" i="3" a="1"/>
  <c r="CO82" i="3" s="1"/>
  <c r="CR72" i="3" a="1"/>
  <c r="CR72" i="3" s="1"/>
  <c r="DJ77" i="3" a="1"/>
  <c r="DJ77" i="3" s="1"/>
  <c r="CU82" i="3" a="1"/>
  <c r="CU82" i="3" s="1"/>
  <c r="CY31" i="3" a="1"/>
  <c r="CY31" i="3" s="1"/>
  <c r="B4" i="3" a="1"/>
  <c r="B4" i="3" s="1"/>
  <c r="BP66" i="3" a="1"/>
  <c r="BP66" i="3" s="1"/>
  <c r="BC86" i="3" a="1"/>
  <c r="BC86" i="3" s="1"/>
  <c r="DE66" i="3" a="1"/>
  <c r="DE66" i="3" s="1"/>
  <c r="BF86" i="3" a="1"/>
  <c r="BF86" i="3" s="1"/>
  <c r="BG86" i="3" a="1"/>
  <c r="BG86" i="3" s="1"/>
  <c r="H31" i="3" a="1"/>
  <c r="H31" i="3" s="1"/>
  <c r="BK86" i="3" a="1"/>
  <c r="BK86" i="3" s="1"/>
  <c r="AC98" i="3" a="1"/>
  <c r="AC98" i="3" s="1"/>
  <c r="BD86" i="3" a="1"/>
  <c r="BD86" i="3" s="1"/>
  <c r="CX31" i="3" a="1"/>
  <c r="CX31" i="3" s="1"/>
  <c r="L31" i="3" a="1"/>
  <c r="L31" i="3" s="1"/>
  <c r="DT31" i="3" a="1"/>
  <c r="DT31" i="3" s="1"/>
  <c r="BO66" i="3" a="1"/>
  <c r="BO66" i="3" s="1"/>
  <c r="B31" i="3" a="1"/>
  <c r="B31" i="3" s="1"/>
  <c r="BE86" i="3" a="1"/>
  <c r="BE86" i="3" s="1"/>
  <c r="CH86" i="3" a="1"/>
  <c r="CH86" i="3" s="1"/>
  <c r="CL86" i="3" a="1"/>
  <c r="CL86" i="3" s="1"/>
  <c r="BH31" i="3" a="1"/>
  <c r="BH31" i="3" s="1"/>
  <c r="DA31" i="3" a="1"/>
  <c r="DA31" i="3" s="1"/>
  <c r="BI31" i="3" a="1"/>
  <c r="BI31" i="3" s="1"/>
  <c r="O31" i="3" a="1"/>
  <c r="O31" i="3" s="1"/>
  <c r="BM86" i="3" a="1"/>
  <c r="BM86" i="3" s="1"/>
  <c r="F31" i="3" a="1"/>
  <c r="F31" i="3" s="1"/>
  <c r="S91" i="3" a="1"/>
  <c r="S91" i="3" s="1"/>
  <c r="CJ86" i="3" a="1"/>
  <c r="CJ86" i="3" s="1"/>
  <c r="CI86" i="3" a="1"/>
  <c r="CI86" i="3" s="1"/>
  <c r="BL86" i="3" a="1"/>
  <c r="BL86" i="3" s="1"/>
  <c r="R31" i="3" a="1"/>
  <c r="R31" i="3" s="1"/>
  <c r="DS31" i="3" a="1"/>
  <c r="DS31" i="3" s="1"/>
  <c r="BQ31" i="3" a="1"/>
  <c r="BQ31" i="3" s="1"/>
  <c r="AC96" i="3" a="1"/>
  <c r="AC96" i="3" s="1"/>
  <c r="CR71" i="3" a="1"/>
  <c r="CR71" i="3" s="1"/>
  <c r="CV81" i="3" a="1"/>
  <c r="CV81" i="3" s="1"/>
  <c r="DF71" i="3" a="1"/>
  <c r="DF71" i="3" s="1"/>
  <c r="CO76" i="3" a="1"/>
  <c r="CO76" i="3" s="1"/>
  <c r="DH76" i="3" a="1"/>
  <c r="DH76" i="3" s="1"/>
  <c r="DC76" i="3" a="1"/>
  <c r="DC76" i="3" s="1"/>
  <c r="CR76" i="3" a="1"/>
  <c r="CR76" i="3" s="1"/>
  <c r="CO81" i="3" a="1"/>
  <c r="CO81" i="3" s="1"/>
  <c r="DG76" i="3" a="1"/>
  <c r="DG76" i="3" s="1"/>
  <c r="CW81" i="3" a="1"/>
  <c r="CW81" i="3" s="1"/>
  <c r="DJ76" i="3" a="1"/>
  <c r="DJ76" i="3" s="1"/>
  <c r="CU81" i="3" a="1"/>
  <c r="CU81" i="3" s="1"/>
  <c r="CO71" i="3" a="1"/>
  <c r="CO71" i="3" s="1"/>
  <c r="CR81" i="3" a="1"/>
  <c r="CR81" i="3" s="1"/>
  <c r="DI76" i="3" a="1"/>
  <c r="DI76" i="3" s="1"/>
  <c r="DC71" i="3" a="1"/>
  <c r="DC71" i="3" s="1"/>
  <c r="DF76" i="3" a="1"/>
  <c r="DF76" i="3" s="1"/>
  <c r="DC81" i="3" a="1"/>
  <c r="DC81" i="3" s="1"/>
  <c r="AR98" i="3" a="1"/>
  <c r="AR98" i="3" s="1"/>
  <c r="L10" i="3" a="1"/>
  <c r="L10" i="3" s="1"/>
  <c r="BM89" i="3" a="1"/>
  <c r="BM89" i="3" s="1"/>
  <c r="AA96" i="3" a="1"/>
  <c r="AA96" i="3" s="1"/>
  <c r="AA93" i="3" a="1"/>
  <c r="AA93" i="3" s="1"/>
  <c r="BJ94" i="3" a="1"/>
  <c r="BJ94" i="3" s="1"/>
  <c r="BV9" i="3" a="1"/>
  <c r="BV9" i="3" s="1"/>
  <c r="V99" i="3" a="1"/>
  <c r="V99" i="3" s="1"/>
  <c r="V98" i="3" a="1"/>
  <c r="V98" i="3" s="1"/>
  <c r="T1" i="3" a="1"/>
  <c r="T1" i="3" s="1"/>
  <c r="BJ3" i="3" a="1"/>
  <c r="BJ3" i="3" s="1"/>
  <c r="AO10" i="3" a="1"/>
  <c r="AO10" i="3" s="1"/>
  <c r="T2" i="3" a="1"/>
  <c r="T2" i="3" s="1"/>
  <c r="CQ5" i="3" a="1"/>
  <c r="CQ5" i="3" s="1"/>
  <c r="AN86" i="3" a="1"/>
  <c r="AN86" i="3" s="1"/>
  <c r="C4" i="3" a="1"/>
  <c r="C4" i="3" s="1"/>
  <c r="N10" i="3" a="1"/>
  <c r="N10" i="3" s="1"/>
  <c r="AP10" i="3" a="1"/>
  <c r="AP10" i="3" s="1"/>
  <c r="AI93" i="3" a="1"/>
  <c r="AI93" i="3" s="1"/>
  <c r="DO31" i="3" a="1"/>
  <c r="DO31" i="3" s="1"/>
  <c r="AV109" i="3" a="1"/>
  <c r="AV109" i="3" s="1"/>
  <c r="AV107" i="3" a="1"/>
  <c r="AV107" i="3" s="1"/>
  <c r="H10" i="3" a="1"/>
  <c r="H10" i="3" s="1"/>
  <c r="E10" i="3" a="1"/>
  <c r="E10" i="3" s="1"/>
  <c r="AV108" i="3" a="1"/>
  <c r="AV108" i="3" s="1"/>
  <c r="AH31" i="3" a="1"/>
  <c r="AH31" i="3" s="1"/>
  <c r="F97" i="3" a="1"/>
  <c r="F97" i="3" s="1"/>
  <c r="BV10" i="3" a="1"/>
  <c r="BV10" i="3" s="1"/>
  <c r="T98" i="3" a="1"/>
  <c r="T98" i="3" s="1"/>
  <c r="AG93" i="3" a="1"/>
  <c r="AG93" i="3" s="1"/>
  <c r="DM66" i="3" a="1"/>
  <c r="DM66" i="3" s="1"/>
  <c r="DQ31" i="3" a="1"/>
  <c r="DQ31" i="3" s="1"/>
  <c r="CG17" i="3" a="1"/>
  <c r="CG17" i="3" s="1"/>
  <c r="AH93" i="3" a="1"/>
  <c r="AH93" i="3" s="1"/>
  <c r="BD2" i="3" a="1"/>
  <c r="BD2" i="3" s="1"/>
  <c r="DM31" i="3" a="1"/>
  <c r="DM31" i="3" s="1"/>
  <c r="BJ91" i="3" a="1"/>
  <c r="BJ91" i="3" s="1"/>
  <c r="Q96" i="3" a="1"/>
  <c r="Q96" i="3" s="1"/>
  <c r="AH1" i="3" a="1"/>
  <c r="AH1" i="3" s="1"/>
  <c r="F99" i="3" a="1"/>
  <c r="F99" i="3" s="1"/>
  <c r="R97" i="3" a="1"/>
  <c r="R97" i="3" s="1"/>
  <c r="A2" i="3"/>
  <c r="O4" i="3" a="1"/>
  <c r="O4" i="3" s="1"/>
  <c r="AK5" i="3" a="1"/>
  <c r="AK5" i="3" s="1"/>
  <c r="G10" i="3" a="1"/>
  <c r="G10" i="3" s="1"/>
  <c r="F6" i="1" a="1"/>
  <c r="F6" i="1" s="1"/>
  <c r="V96" i="3" a="1"/>
  <c r="V96" i="3" s="1"/>
  <c r="DD31" i="3" a="1"/>
  <c r="DD31" i="3" s="1"/>
  <c r="BD3" i="3" a="1"/>
  <c r="BD3" i="3" s="1"/>
  <c r="T99" i="3" a="1"/>
  <c r="T99" i="3" s="1"/>
  <c r="B98" i="3" a="1"/>
  <c r="B98" i="3" s="1"/>
  <c r="CG5" i="3" a="1"/>
  <c r="CG5" i="3" s="1"/>
  <c r="CG3" i="3" a="1"/>
  <c r="CG3" i="3" s="1"/>
  <c r="BJ92" i="3" a="1"/>
  <c r="BJ92" i="3" s="1"/>
  <c r="O1" i="3" a="1"/>
  <c r="O1" i="3" s="1"/>
  <c r="AS11" i="3" a="1"/>
  <c r="AS11" i="3" s="1"/>
  <c r="R96" i="3" a="1"/>
  <c r="R96" i="3" s="1"/>
  <c r="AL93" i="3" a="1"/>
  <c r="AL93" i="3" s="1"/>
  <c r="O2" i="3" a="1"/>
  <c r="O2" i="3" s="1"/>
  <c r="N97" i="3" a="1"/>
  <c r="N97" i="3" s="1"/>
  <c r="BG5" i="3" a="1"/>
  <c r="BG5" i="3" s="1"/>
  <c r="D5" i="1" a="1"/>
  <c r="D5" i="1" s="1"/>
  <c r="AV103" i="3" a="1"/>
  <c r="AV103" i="3" s="1"/>
  <c r="AP86" i="3" a="1"/>
  <c r="AP86" i="3" s="1"/>
  <c r="AP9" i="3" a="1"/>
  <c r="AP9" i="3" s="1"/>
  <c r="CX1" i="3" a="1"/>
  <c r="CX1" i="3" s="1"/>
  <c r="D6" i="1" a="1"/>
  <c r="D6" i="1" s="1"/>
  <c r="P97" i="3" a="1"/>
  <c r="P97" i="3" s="1"/>
  <c r="C31" i="3" a="1"/>
  <c r="C31" i="3" s="1"/>
  <c r="CX2" i="3" a="1"/>
  <c r="CX2" i="3" s="1"/>
  <c r="AE92" i="3" a="1"/>
  <c r="AE92" i="3" s="1"/>
  <c r="AN10" i="3" a="1"/>
  <c r="AN10" i="3" s="1"/>
  <c r="J98" i="3" a="1"/>
  <c r="J98" i="3" s="1"/>
  <c r="CG16" i="3" a="1"/>
  <c r="CG16" i="3" s="1"/>
  <c r="BV8" i="3" a="1"/>
  <c r="BV8" i="3" s="1"/>
  <c r="AN11" i="3" a="1"/>
  <c r="AN11" i="3" s="1"/>
  <c r="AE96" i="3" a="1"/>
  <c r="AE96" i="3" s="1"/>
  <c r="AJ93" i="3" a="1"/>
  <c r="AJ93" i="3" s="1"/>
  <c r="D98" i="3" a="1"/>
  <c r="D98" i="3" s="1"/>
  <c r="AV110" i="3" a="1"/>
  <c r="AV110" i="3" s="1"/>
  <c r="AF93" i="3" a="1"/>
  <c r="AF93" i="3" s="1"/>
  <c r="U96" i="3" a="1"/>
  <c r="U96" i="3" s="1"/>
  <c r="G6" i="3" a="1"/>
  <c r="G6" i="3" s="1"/>
  <c r="BJ4" i="3" a="1"/>
  <c r="BJ4" i="3" s="1"/>
  <c r="AW102" i="3" s="1" a="1"/>
  <c r="AW102" i="3" s="1"/>
  <c r="L98" i="3" a="1"/>
  <c r="L98" i="3" s="1"/>
  <c r="DI66" i="3" a="1"/>
  <c r="DI66" i="3" s="1"/>
  <c r="AA92" i="3" a="1"/>
  <c r="AA92" i="3" s="1"/>
  <c r="BC31" i="3" a="1"/>
  <c r="BC31" i="3" s="1"/>
  <c r="AN9" i="3" a="1"/>
  <c r="AN9" i="3" s="1"/>
  <c r="BM90" i="3" a="1"/>
  <c r="BM90" i="3" s="1"/>
  <c r="AV104" i="3" a="1"/>
  <c r="AV104" i="3" s="1"/>
  <c r="B10" i="3" a="1"/>
  <c r="B10" i="3" s="1"/>
  <c r="D97" i="3" a="1"/>
  <c r="D97" i="3" s="1"/>
  <c r="R99" i="3" a="1"/>
  <c r="R99" i="3" s="1"/>
  <c r="DP31" i="3" a="1"/>
  <c r="DP31" i="3" s="1"/>
  <c r="V97" i="3" a="1"/>
  <c r="V97" i="3" s="1"/>
  <c r="AV92" i="3" a="1"/>
  <c r="AV92" i="3" s="1"/>
  <c r="BD4" i="3" a="1"/>
  <c r="BD4" i="3" s="1"/>
  <c r="O96" i="3" a="1"/>
  <c r="O96" i="3" s="1"/>
  <c r="C10" i="3" a="1"/>
  <c r="C10" i="3" s="1"/>
  <c r="Z1" i="3" a="1"/>
  <c r="Z1" i="3" s="1"/>
  <c r="AE1" i="3" s="1" a="1"/>
  <c r="P96" i="3" a="1"/>
  <c r="J9" i="3" l="1" a="1"/>
  <c r="J9" i="3" s="1"/>
  <c r="B9" i="3" a="1"/>
  <c r="B9" i="3" s="1"/>
  <c r="H9" i="3" a="1"/>
  <c r="H9" i="3" s="1"/>
  <c r="C9" i="3" a="1"/>
  <c r="C9" i="3" s="1"/>
  <c r="E9" i="3" a="1"/>
  <c r="E9" i="3" s="1"/>
  <c r="N9" i="3" a="1"/>
  <c r="N9" i="3" s="1"/>
  <c r="G9" i="3" a="1"/>
  <c r="G9" i="3" s="1"/>
  <c r="D9" i="3" a="1"/>
  <c r="D9" i="3" s="1"/>
  <c r="L9" i="3" a="1"/>
  <c r="L9" i="3" s="1"/>
  <c r="P9" i="3" a="1"/>
  <c r="P9" i="3" s="1"/>
  <c r="F9" i="3" a="1"/>
  <c r="F9" i="3" s="1"/>
  <c r="I9" i="3" a="1"/>
  <c r="I9" i="3" s="1"/>
  <c r="Q9" i="3" a="1"/>
  <c r="Q9" i="3" s="1"/>
  <c r="CH20" i="3" a="1"/>
  <c r="CH20" i="3" s="1"/>
  <c r="CJ26" i="3" a="1"/>
  <c r="CJ26" i="3" s="1"/>
  <c r="CJ20" i="3" a="1"/>
  <c r="CJ20" i="3" s="1"/>
  <c r="CH26" i="3" a="1"/>
  <c r="CH26" i="3" s="1"/>
  <c r="CJ19" i="3" a="1"/>
  <c r="CJ19" i="3" s="1"/>
  <c r="CH30" i="3" a="1"/>
  <c r="CH30" i="3" s="1"/>
  <c r="CH24" i="3" a="1"/>
  <c r="CH24" i="3" s="1"/>
  <c r="CJ23" i="3" a="1"/>
  <c r="CJ23" i="3" s="1"/>
  <c r="CJ22" i="3" a="1"/>
  <c r="CJ22" i="3" s="1"/>
  <c r="CH31" i="3" a="1"/>
  <c r="CH31" i="3" s="1"/>
  <c r="CJ24" i="3" a="1"/>
  <c r="CJ24" i="3" s="1"/>
  <c r="CH23" i="3" a="1"/>
  <c r="CH23" i="3" s="1"/>
  <c r="CH25" i="3" a="1"/>
  <c r="CH25" i="3" s="1"/>
  <c r="CH21" i="3" a="1"/>
  <c r="CH21" i="3" s="1"/>
  <c r="CH19" i="3" a="1"/>
  <c r="CH19" i="3" s="1"/>
  <c r="CJ21" i="3" a="1"/>
  <c r="CJ21" i="3" s="1"/>
  <c r="CJ25" i="3" a="1"/>
  <c r="CJ25" i="3" s="1"/>
  <c r="CH22" i="3" a="1"/>
  <c r="CH22" i="3" s="1"/>
  <c r="CI31" i="3" a="1"/>
  <c r="CI31" i="3" s="1"/>
  <c r="CK21" i="3" a="1"/>
  <c r="CK21" i="3" s="1"/>
  <c r="CI30" i="3" a="1"/>
  <c r="CI30" i="3" s="1"/>
  <c r="CI21" i="3" a="1"/>
  <c r="CI21" i="3" s="1"/>
  <c r="AW103" i="3" a="1"/>
  <c r="AW103" i="3" s="1"/>
  <c r="AW109" i="3" a="1"/>
  <c r="AW109" i="3" s="1"/>
  <c r="AW105" i="3" a="1"/>
  <c r="AW105" i="3" s="1"/>
  <c r="AW112" i="3" a="1"/>
  <c r="AW112" i="3" s="1"/>
  <c r="AW111" i="3" a="1"/>
  <c r="AW111" i="3" s="1"/>
  <c r="AW107" i="3" a="1"/>
  <c r="AW107" i="3" s="1"/>
  <c r="AW108" i="3" a="1"/>
  <c r="AW108" i="3" s="1"/>
  <c r="AW110" i="3" a="1"/>
  <c r="AW110" i="3" s="1"/>
  <c r="AW104" i="3" a="1"/>
  <c r="AW104" i="3" s="1"/>
  <c r="AW106" i="3" a="1"/>
  <c r="AW106" i="3" s="1"/>
  <c r="AE1" i="3"/>
  <c r="P96" i="3"/>
  <c r="J10" i="3" a="1"/>
  <c r="J10" i="3" s="1"/>
  <c r="O3" i="3" a="1"/>
  <c r="O3" i="3" s="1"/>
  <c r="AO9" i="3" a="1"/>
  <c r="AO9" i="3" s="1"/>
  <c r="D10" i="3" a="1"/>
  <c r="D10" i="3" s="1"/>
  <c r="DL31" i="3" a="1"/>
  <c r="DL31" i="3" s="1"/>
  <c r="AV112" i="3" a="1"/>
  <c r="AV112" i="3" s="1"/>
  <c r="BJ95" i="3" a="1"/>
  <c r="BJ95" i="3" s="1"/>
  <c r="BM94" i="3" a="1"/>
  <c r="BM94" i="3" s="1"/>
  <c r="AA98" i="3" a="1"/>
  <c r="AA98" i="3" s="1"/>
  <c r="M92" i="3" a="1"/>
  <c r="M92" i="3" s="1"/>
  <c r="M90" i="3" a="1"/>
  <c r="M90" i="3" s="1"/>
  <c r="T3" i="3" a="1"/>
  <c r="T3" i="3" s="1"/>
  <c r="AK6" i="3" a="1"/>
  <c r="AK6" i="3" s="1"/>
  <c r="BM95" i="3" a="1"/>
  <c r="BM95" i="3" s="1"/>
  <c r="Z2" i="3" a="1"/>
  <c r="Z2" i="3" s="1"/>
  <c r="DL66" i="3" a="1"/>
  <c r="DL66" i="3" s="1"/>
  <c r="B96" i="3" a="1"/>
  <c r="B96" i="3" s="1"/>
  <c r="O93" i="3" a="1"/>
  <c r="O93" i="3" s="1"/>
  <c r="CH5" i="3" a="1"/>
  <c r="CH5" i="3" s="1"/>
  <c r="CH3" i="3" a="1"/>
  <c r="CH3" i="3" s="1"/>
  <c r="T96" i="3" a="1"/>
  <c r="T96" i="3" s="1"/>
  <c r="BM92" i="3" a="1"/>
  <c r="BM92" i="3" s="1"/>
  <c r="AG31" i="3" a="1"/>
  <c r="AG31" i="3" s="1"/>
  <c r="AV91" i="3" a="1"/>
  <c r="AV91" i="3" s="1"/>
  <c r="I10" i="3" a="1"/>
  <c r="I10" i="3" s="1"/>
  <c r="F10" i="3" a="1"/>
  <c r="F10" i="3" s="1"/>
  <c r="AS8" i="3" a="1"/>
  <c r="AS8" i="3" s="1"/>
  <c r="F98" i="3" a="1"/>
  <c r="F98" i="3" s="1"/>
  <c r="AE3" i="3" a="1"/>
  <c r="AE3" i="3" s="1"/>
  <c r="AE4" i="3" s="1" a="1"/>
  <c r="N99" i="3" a="1"/>
  <c r="AE4" i="3" l="1"/>
  <c r="N99" i="3"/>
  <c r="S92" i="3" a="1"/>
  <c r="S92" i="3" s="1"/>
  <c r="M91" i="3" a="1"/>
  <c r="M91" i="3" s="1"/>
  <c r="M89" i="3" a="1"/>
  <c r="M89" i="3" s="1"/>
  <c r="AA95" i="3" a="1"/>
  <c r="AA95" i="3" s="1"/>
  <c r="AH101" i="3" a="1"/>
  <c r="AH101" i="3" s="1"/>
  <c r="BM91" i="3" a="1"/>
  <c r="BM91" i="3" s="1"/>
  <c r="BJ90" i="3" a="1"/>
  <c r="BJ90" i="3" s="1"/>
  <c r="R98" i="3" a="1"/>
  <c r="R98" i="3" s="1"/>
  <c r="C3" i="3" a="1"/>
  <c r="C3" i="3" s="1"/>
  <c r="Z3" i="3" a="1"/>
  <c r="Z3" i="3" s="1"/>
  <c r="I95" i="3" a="1"/>
  <c r="I95" i="3" s="1"/>
  <c r="BJ96" i="3" a="1"/>
  <c r="BJ96" i="3" s="1"/>
  <c r="J99" i="3" a="1"/>
  <c r="J99" i="3" s="1"/>
  <c r="AV111" i="3" a="1"/>
  <c r="AV111" i="3" s="1"/>
  <c r="L99" i="3" a="1"/>
  <c r="L99" i="3" s="1"/>
  <c r="AV90" i="3" a="1"/>
  <c r="AV90" i="3" s="1"/>
  <c r="V93" i="3" a="1"/>
  <c r="V93" i="3" s="1"/>
  <c r="P99" i="3" a="1"/>
  <c r="P99" i="3" s="1"/>
  <c r="AV105" i="3" a="1"/>
  <c r="AV105" i="3" s="1"/>
  <c r="S96" i="3" a="1"/>
  <c r="S96" i="3" s="1"/>
  <c r="AE97" i="3" a="1"/>
  <c r="AE97" i="3" s="1"/>
  <c r="G114" i="3" a="1"/>
  <c r="G114" i="3" s="1"/>
  <c r="AL101" i="3" a="1"/>
  <c r="AL101" i="3" s="1"/>
  <c r="AA99" i="3" a="1"/>
  <c r="AA99" i="3" s="1"/>
  <c r="D99" i="3" a="1"/>
  <c r="D99" i="3" s="1"/>
  <c r="AM86" i="3" a="1"/>
  <c r="AM86" i="3" s="1"/>
  <c r="BM96" i="3" a="1"/>
  <c r="BM96" i="3" s="1"/>
  <c r="D114" i="3" a="1"/>
  <c r="D114" i="3" s="1"/>
  <c r="T97" i="3" a="1"/>
  <c r="T97" i="3" s="1"/>
  <c r="S93" i="3" a="1"/>
  <c r="S93" i="3" s="1"/>
  <c r="J97" i="3" a="1"/>
  <c r="J97" i="3" s="1"/>
  <c r="P98" i="3" a="1"/>
  <c r="P98" i="3" s="1"/>
  <c r="B92" i="3" a="1"/>
  <c r="B92" i="3" s="1"/>
  <c r="AK93" i="3" a="1"/>
  <c r="AK93" i="3" s="1"/>
  <c r="N98" i="3" a="1"/>
  <c r="N98" i="3" s="1"/>
  <c r="B94" i="3" a="1"/>
  <c r="B94" i="3" s="1"/>
  <c r="L97" i="3" a="1"/>
  <c r="L97" i="3" s="1"/>
  <c r="AA97" i="3" a="1"/>
  <c r="AA97" i="3" s="1"/>
  <c r="AE98" i="3" a="1"/>
  <c r="AE98" i="3" s="1"/>
  <c r="H98" i="3" a="1"/>
  <c r="H98" i="3" s="1"/>
  <c r="AE99" i="3" a="1"/>
  <c r="AE99" i="3" s="1"/>
  <c r="H97" i="3" a="1"/>
  <c r="H97" i="3" s="1"/>
  <c r="H99" i="3" a="1"/>
  <c r="H99" i="3" s="1"/>
  <c r="DL39" i="3" a="1"/>
  <c r="DL39" i="3" s="1"/>
  <c r="DN39" i="3" a="1"/>
  <c r="DN39" i="3" s="1"/>
  <c r="R30" i="2" a="1"/>
  <c r="R30" i="2" s="1"/>
  <c r="R31" i="2" a="1"/>
  <c r="R31" i="2" s="1"/>
  <c r="DL40" i="3" a="1"/>
  <c r="DL40" i="3" s="1"/>
  <c r="DN40" i="3" a="1"/>
  <c r="DN40" i="3" s="1"/>
  <c r="AE93" i="3" a="1"/>
  <c r="AE93" i="3" s="1"/>
  <c r="BG10" i="3" a="1"/>
  <c r="BG10" i="3" s="1"/>
  <c r="BG8" i="3" a="1"/>
  <c r="BG8" i="3" s="1"/>
  <c r="BG9" i="3" a="1"/>
  <c r="BG9" i="3" s="1"/>
  <c r="BM8" i="3" a="1"/>
  <c r="BM8" i="3" s="1"/>
  <c r="BQ8" i="3" a="1"/>
  <c r="BQ8" i="3" s="1"/>
  <c r="BB35" i="3" a="1"/>
  <c r="BB35" i="3" s="1"/>
  <c r="B3" i="3" a="1"/>
  <c r="B3" i="3" s="1"/>
  <c r="BG3" i="3" a="1"/>
  <c r="BG3" i="3" s="1"/>
  <c r="CM5" i="3" a="1"/>
  <c r="CM5" i="3" s="1"/>
  <c r="BB32" i="3" a="1"/>
  <c r="BB32" i="3" s="1"/>
  <c r="CK5" i="3" a="1"/>
  <c r="CK5" i="3" s="1"/>
  <c r="BB36" i="3" a="1"/>
  <c r="BB36" i="3" s="1"/>
  <c r="CJ3" i="3" a="1"/>
  <c r="CJ3" i="3" s="1"/>
  <c r="BB33" i="3" a="1"/>
  <c r="BB33" i="3" s="1"/>
  <c r="BB34" i="3" a="1"/>
  <c r="BB34" i="3" s="1"/>
  <c r="CU71" i="3" a="1"/>
  <c r="CU71" i="3" s="1"/>
  <c r="BN8" i="3" a="1"/>
  <c r="BN8" i="3" s="1"/>
  <c r="BR8" i="3" a="1"/>
  <c r="BR8" i="3" s="1"/>
  <c r="CU72" i="3" a="1"/>
  <c r="CU72" i="3" s="1"/>
  <c r="BN11" i="3" a="1"/>
  <c r="BN11" i="3" s="1"/>
  <c r="CK3" i="3" a="1"/>
  <c r="CK3" i="3" s="1"/>
  <c r="AS9" i="3" a="1"/>
  <c r="AS9" i="3" s="1"/>
  <c r="CZ38" i="3"/>
  <c r="DH33" i="3"/>
  <c r="DM39" i="3"/>
  <c r="DA38" i="3"/>
  <c r="E1" i="3"/>
  <c r="CZ1" i="3"/>
  <c r="CO5" i="3" a="1"/>
  <c r="CO5" i="3" s="1"/>
  <c r="DK39" i="3"/>
  <c r="DG33" i="3"/>
  <c r="AK1" i="3"/>
  <c r="BH91" i="3" l="1" a="1"/>
  <c r="BH91" i="3" s="1"/>
  <c r="BC36" i="3" a="1"/>
  <c r="BC36" i="3" s="1"/>
  <c r="BH90" i="3" a="1"/>
  <c r="BH90" i="3" s="1"/>
  <c r="BF90" i="3" a="1"/>
  <c r="BF90" i="3" s="1"/>
  <c r="BF96" i="3" a="1"/>
  <c r="BF96" i="3" s="1"/>
  <c r="T36" i="3" a="1"/>
  <c r="T36" i="3" s="1"/>
  <c r="S36" i="3" a="1"/>
  <c r="S36" i="3" s="1"/>
  <c r="AY36" i="3" a="1"/>
  <c r="AY36" i="3" s="1"/>
  <c r="BH96" i="3" a="1"/>
  <c r="BH96" i="3" s="1"/>
  <c r="AE36" i="3" a="1"/>
  <c r="AE36" i="3" s="1"/>
  <c r="DJ36" i="3" a="1"/>
  <c r="DJ36" i="3" s="1"/>
  <c r="BF91" i="3" a="1"/>
  <c r="BF91" i="3" s="1"/>
  <c r="CN83" i="3" a="1"/>
  <c r="CN83" i="3" s="1"/>
  <c r="AC36" i="3" a="1"/>
  <c r="AC36" i="3" s="1"/>
  <c r="BC32" i="3" a="1"/>
  <c r="BC32" i="3" s="1"/>
  <c r="AE32" i="3" a="1"/>
  <c r="AE32" i="3" s="1"/>
  <c r="BH92" i="3" a="1"/>
  <c r="BH92" i="3" s="1"/>
  <c r="T32" i="3" a="1"/>
  <c r="T32" i="3" s="1"/>
  <c r="DJ32" i="3" a="1"/>
  <c r="DJ32" i="3" s="1"/>
  <c r="S32" i="3" a="1"/>
  <c r="S32" i="3" s="1"/>
  <c r="AC32" i="3" a="1"/>
  <c r="AC32" i="3" s="1"/>
  <c r="BF92" i="3" a="1"/>
  <c r="BF92" i="3" s="1"/>
  <c r="AY32" i="3" a="1"/>
  <c r="AY32" i="3" s="1"/>
  <c r="AC34" i="3" a="1"/>
  <c r="AC34" i="3" s="1"/>
  <c r="DJ34" i="3" a="1"/>
  <c r="DJ34" i="3" s="1"/>
  <c r="BC34" i="3" a="1"/>
  <c r="BC34" i="3" s="1"/>
  <c r="AY34" i="3" a="1"/>
  <c r="AY34" i="3" s="1"/>
  <c r="BF94" i="3" a="1"/>
  <c r="BF94" i="3" s="1"/>
  <c r="T34" i="3" a="1"/>
  <c r="T34" i="3" s="1"/>
  <c r="BH94" i="3" a="1"/>
  <c r="BH94" i="3" s="1"/>
  <c r="S34" i="3" a="1"/>
  <c r="S34" i="3" s="1"/>
  <c r="AE34" i="3" a="1"/>
  <c r="AE34" i="3" s="1"/>
  <c r="AC35" i="3" a="1"/>
  <c r="AC35" i="3" s="1"/>
  <c r="T35" i="3" a="1"/>
  <c r="T35" i="3" s="1"/>
  <c r="BH95" i="3" a="1"/>
  <c r="BH95" i="3" s="1"/>
  <c r="AY35" i="3" a="1"/>
  <c r="AY35" i="3" s="1"/>
  <c r="BC35" i="3" a="1"/>
  <c r="BC35" i="3" s="1"/>
  <c r="DJ35" i="3" a="1"/>
  <c r="DJ35" i="3" s="1"/>
  <c r="S35" i="3" a="1"/>
  <c r="S35" i="3" s="1"/>
  <c r="AE35" i="3" a="1"/>
  <c r="AE35" i="3" s="1"/>
  <c r="BF95" i="3" a="1"/>
  <c r="BF95" i="3" s="1"/>
  <c r="AE33" i="3" a="1"/>
  <c r="AE33" i="3" s="1"/>
  <c r="BC33" i="3" a="1"/>
  <c r="BC33" i="3" s="1"/>
  <c r="AY33" i="3" a="1"/>
  <c r="AY33" i="3" s="1"/>
  <c r="BH93" i="3" a="1"/>
  <c r="BH93" i="3" s="1"/>
  <c r="T33" i="3" a="1"/>
  <c r="T33" i="3" s="1"/>
  <c r="BF93" i="3" a="1"/>
  <c r="BF93" i="3" s="1"/>
  <c r="DJ33" i="3" a="1"/>
  <c r="DJ33" i="3" s="1"/>
  <c r="S33" i="3" a="1"/>
  <c r="S33" i="3" s="1"/>
  <c r="AC33" i="3" a="1"/>
  <c r="AC33" i="3" s="1"/>
  <c r="H28" i="5"/>
  <c r="N19" i="5"/>
  <c r="M19" i="5"/>
  <c r="X18" i="5"/>
  <c r="X17" i="5"/>
  <c r="X16" i="5"/>
  <c r="U13" i="5"/>
  <c r="U14" i="5" s="1"/>
  <c r="AG6" i="5"/>
  <c r="U6" i="5"/>
  <c r="U7" i="5" s="1"/>
  <c r="V5" i="5"/>
  <c r="U5" i="5"/>
  <c r="B61" i="4"/>
  <c r="B60" i="4"/>
  <c r="B59" i="4"/>
  <c r="B58" i="4"/>
  <c r="Z42" i="4"/>
  <c r="W42" i="4"/>
  <c r="T42" i="4"/>
  <c r="Q42" i="4"/>
  <c r="N42" i="4"/>
  <c r="K42" i="4"/>
  <c r="H42" i="4"/>
  <c r="E42" i="4"/>
  <c r="W41" i="4"/>
  <c r="T41" i="4"/>
  <c r="Q41" i="4"/>
  <c r="N41" i="4"/>
  <c r="K41" i="4"/>
  <c r="H41" i="4"/>
  <c r="E41" i="4"/>
  <c r="B20" i="4"/>
  <c r="K15" i="4"/>
  <c r="K36" i="4" s="1"/>
  <c r="B15" i="4"/>
  <c r="B28" i="4" s="1"/>
  <c r="K14" i="4"/>
  <c r="K28" i="4" s="1"/>
  <c r="B14" i="4"/>
  <c r="B27" i="4" s="1"/>
  <c r="K13" i="4"/>
  <c r="B13" i="4"/>
  <c r="B26" i="4" s="1"/>
  <c r="K12" i="4"/>
  <c r="B12" i="4"/>
  <c r="B25" i="4" s="1"/>
  <c r="K11" i="4"/>
  <c r="B11" i="4"/>
  <c r="B24" i="4" s="1"/>
  <c r="K10" i="4"/>
  <c r="B10" i="4"/>
  <c r="B23" i="4" s="1"/>
  <c r="K9" i="4"/>
  <c r="H9" i="4"/>
  <c r="B9" i="4"/>
  <c r="B22" i="4" s="1"/>
  <c r="K8" i="4"/>
  <c r="B8" i="4"/>
  <c r="B21" i="4" s="1"/>
  <c r="K7" i="4"/>
  <c r="B7" i="4"/>
  <c r="K6" i="4"/>
  <c r="B6" i="4"/>
  <c r="B19" i="4" s="1"/>
  <c r="K5" i="4"/>
  <c r="B5" i="4"/>
  <c r="A108" i="3"/>
  <c r="A107" i="3"/>
  <c r="A106" i="3"/>
  <c r="A105" i="3"/>
  <c r="A104" i="3"/>
  <c r="AM99" i="3"/>
  <c r="AM98" i="3"/>
  <c r="AR97" i="3"/>
  <c r="AM97" i="3"/>
  <c r="AM96" i="3"/>
  <c r="AM95" i="3"/>
  <c r="AO94" i="3"/>
  <c r="AN94" i="3"/>
  <c r="AM94" i="3"/>
  <c r="AO93" i="3"/>
  <c r="AN93" i="3"/>
  <c r="AM93" i="3"/>
  <c r="AO92" i="3"/>
  <c r="AN92" i="3"/>
  <c r="AM92" i="3"/>
  <c r="AO91" i="3"/>
  <c r="AP91" i="3" s="1"/>
  <c r="AN91" i="3"/>
  <c r="AM91" i="3"/>
  <c r="AK91" i="3"/>
  <c r="AC91" i="3"/>
  <c r="AO90" i="3"/>
  <c r="AN90" i="3"/>
  <c r="AM90" i="3"/>
  <c r="AK90" i="3"/>
  <c r="AC90" i="3"/>
  <c r="AK89" i="3"/>
  <c r="AC89" i="3"/>
  <c r="AK88" i="3"/>
  <c r="AC88" i="3"/>
  <c r="V86" i="3"/>
  <c r="A86" i="3"/>
  <c r="CK85" i="3"/>
  <c r="AA85" i="3" s="1"/>
  <c r="CF85" i="3"/>
  <c r="CB85" i="3"/>
  <c r="BY85" i="3"/>
  <c r="BV85" i="3"/>
  <c r="BS85" i="3"/>
  <c r="W85" i="3" s="1"/>
  <c r="BP85" i="3"/>
  <c r="T85" i="3" s="1"/>
  <c r="U85" i="3" s="1"/>
  <c r="Z15" i="4" s="1"/>
  <c r="BH85" i="3"/>
  <c r="BJ85" i="3" s="1"/>
  <c r="Q85" i="3" s="1"/>
  <c r="AU85" i="3" s="1"/>
  <c r="AL85" i="3"/>
  <c r="AK85" i="3"/>
  <c r="AG85" i="3"/>
  <c r="AF85" i="3"/>
  <c r="AE85" i="3"/>
  <c r="AD85" i="3"/>
  <c r="AC85" i="3"/>
  <c r="AB85" i="3"/>
  <c r="H15" i="4" s="1"/>
  <c r="H36" i="4" s="1"/>
  <c r="Z85" i="3"/>
  <c r="S85" i="3"/>
  <c r="O85" i="3" s="1"/>
  <c r="E85" i="3"/>
  <c r="D85" i="3"/>
  <c r="C85" i="3"/>
  <c r="B85" i="3"/>
  <c r="A85" i="3"/>
  <c r="CK84" i="3"/>
  <c r="AA84" i="3" s="1"/>
  <c r="CF84" i="3"/>
  <c r="CB84" i="3"/>
  <c r="BY84" i="3"/>
  <c r="BV84" i="3"/>
  <c r="BS84" i="3"/>
  <c r="W84" i="3" s="1"/>
  <c r="BP84" i="3"/>
  <c r="T84" i="3" s="1"/>
  <c r="U84" i="3" s="1"/>
  <c r="Z14" i="4" s="1"/>
  <c r="Z27" i="4" s="1"/>
  <c r="BH84" i="3"/>
  <c r="BJ84" i="3" s="1"/>
  <c r="Q84" i="3" s="1"/>
  <c r="AL84" i="3"/>
  <c r="AK84" i="3"/>
  <c r="AG84" i="3"/>
  <c r="AF84" i="3"/>
  <c r="AE84" i="3"/>
  <c r="AD84" i="3"/>
  <c r="AC84" i="3"/>
  <c r="AB84" i="3"/>
  <c r="H14" i="4" s="1"/>
  <c r="Z84" i="3"/>
  <c r="S84" i="3"/>
  <c r="E84" i="3"/>
  <c r="D84" i="3"/>
  <c r="C84" i="3"/>
  <c r="B84" i="3"/>
  <c r="A84" i="3"/>
  <c r="CK83" i="3"/>
  <c r="AA83" i="3" s="1"/>
  <c r="CF83" i="3"/>
  <c r="CB83" i="3"/>
  <c r="BY83" i="3"/>
  <c r="BV83" i="3"/>
  <c r="BS83" i="3"/>
  <c r="W83" i="3" s="1"/>
  <c r="BP83" i="3"/>
  <c r="T83" i="3" s="1"/>
  <c r="U83" i="3" s="1"/>
  <c r="Z13" i="4" s="1"/>
  <c r="BH83" i="3"/>
  <c r="BJ83" i="3" s="1"/>
  <c r="Q83" i="3" s="1"/>
  <c r="AL83" i="3"/>
  <c r="AK83" i="3"/>
  <c r="AG83" i="3"/>
  <c r="AF83" i="3"/>
  <c r="AE83" i="3"/>
  <c r="AD83" i="3"/>
  <c r="AC83" i="3"/>
  <c r="AB83" i="3"/>
  <c r="H13" i="4" s="1"/>
  <c r="Z83" i="3"/>
  <c r="S83" i="3"/>
  <c r="O83" i="3"/>
  <c r="E83" i="3"/>
  <c r="D83" i="3"/>
  <c r="C83" i="3"/>
  <c r="B83" i="3"/>
  <c r="A83" i="3"/>
  <c r="CK82" i="3"/>
  <c r="AA82" i="3" s="1"/>
  <c r="CF82" i="3"/>
  <c r="CB82" i="3"/>
  <c r="BY82" i="3"/>
  <c r="BV82" i="3"/>
  <c r="BS82" i="3"/>
  <c r="W82" i="3" s="1"/>
  <c r="BP82" i="3"/>
  <c r="T82" i="3" s="1"/>
  <c r="U82" i="3" s="1"/>
  <c r="Z12" i="4" s="1"/>
  <c r="BH82" i="3"/>
  <c r="BJ82" i="3" s="1"/>
  <c r="Q82" i="3" s="1"/>
  <c r="AL82" i="3"/>
  <c r="AK82" i="3"/>
  <c r="AG82" i="3"/>
  <c r="AF82" i="3"/>
  <c r="AE82" i="3"/>
  <c r="AD82" i="3"/>
  <c r="AC82" i="3"/>
  <c r="AB82" i="3"/>
  <c r="H12" i="4" s="1"/>
  <c r="Z82" i="3"/>
  <c r="S82" i="3"/>
  <c r="E82" i="3"/>
  <c r="D82" i="3"/>
  <c r="C82" i="3"/>
  <c r="B82" i="3"/>
  <c r="A82" i="3"/>
  <c r="CK81" i="3"/>
  <c r="CF81" i="3"/>
  <c r="CB81" i="3"/>
  <c r="BY81" i="3"/>
  <c r="BV81" i="3"/>
  <c r="BS81" i="3"/>
  <c r="W81" i="3" s="1"/>
  <c r="BP81" i="3"/>
  <c r="T81" i="3" s="1"/>
  <c r="U81" i="3" s="1"/>
  <c r="Z11" i="4" s="1"/>
  <c r="BH81" i="3"/>
  <c r="BJ81" i="3" s="1"/>
  <c r="Q81" i="3" s="1"/>
  <c r="N81" i="3" s="1"/>
  <c r="Q11" i="4" s="1"/>
  <c r="AL81" i="3"/>
  <c r="AK81" i="3"/>
  <c r="AG81" i="3"/>
  <c r="AF81" i="3"/>
  <c r="AE81" i="3"/>
  <c r="AD81" i="3"/>
  <c r="AC81" i="3"/>
  <c r="AB81" i="3"/>
  <c r="H11" i="4" s="1"/>
  <c r="AA81" i="3"/>
  <c r="Z81" i="3"/>
  <c r="S81" i="3"/>
  <c r="E81" i="3"/>
  <c r="D81" i="3"/>
  <c r="AZ82" i="3" s="1"/>
  <c r="C81" i="3"/>
  <c r="I82" i="3" s="1"/>
  <c r="B81" i="3"/>
  <c r="A81" i="3"/>
  <c r="CK80" i="3"/>
  <c r="AA80" i="3" s="1"/>
  <c r="CF80" i="3"/>
  <c r="CB80" i="3"/>
  <c r="BY80" i="3"/>
  <c r="BV80" i="3"/>
  <c r="BS80" i="3"/>
  <c r="W80" i="3" s="1"/>
  <c r="BP80" i="3"/>
  <c r="T80" i="3" s="1"/>
  <c r="BH80" i="3"/>
  <c r="BJ80" i="3" s="1"/>
  <c r="Q80" i="3" s="1"/>
  <c r="AL80" i="3"/>
  <c r="AK80" i="3"/>
  <c r="AG80" i="3"/>
  <c r="AF80" i="3"/>
  <c r="AE80" i="3"/>
  <c r="AD80" i="3"/>
  <c r="AC80" i="3"/>
  <c r="AB80" i="3"/>
  <c r="H10" i="4" s="1"/>
  <c r="Z80" i="3"/>
  <c r="S80" i="3"/>
  <c r="O80" i="3"/>
  <c r="E80" i="3"/>
  <c r="J80" i="3" s="1"/>
  <c r="D80" i="3"/>
  <c r="AZ80" i="3" s="1"/>
  <c r="C80" i="3"/>
  <c r="B80" i="3"/>
  <c r="A80" i="3"/>
  <c r="CK79" i="3"/>
  <c r="AA79" i="3" s="1"/>
  <c r="CF79" i="3"/>
  <c r="CB79" i="3"/>
  <c r="BY79" i="3"/>
  <c r="BV79" i="3"/>
  <c r="CC79" i="3" s="1"/>
  <c r="BS79" i="3"/>
  <c r="W79" i="3" s="1"/>
  <c r="BP79" i="3"/>
  <c r="T79" i="3" s="1"/>
  <c r="U79" i="3" s="1"/>
  <c r="Z9" i="4" s="1"/>
  <c r="BH79" i="3"/>
  <c r="BJ79" i="3" s="1"/>
  <c r="Q79" i="3" s="1"/>
  <c r="P79" i="3" s="1"/>
  <c r="AL79" i="3"/>
  <c r="AK79" i="3"/>
  <c r="AG79" i="3"/>
  <c r="AF79" i="3"/>
  <c r="AE79" i="3"/>
  <c r="AD79" i="3"/>
  <c r="AC79" i="3"/>
  <c r="AB79" i="3"/>
  <c r="Z79" i="3"/>
  <c r="S79" i="3"/>
  <c r="E79" i="3"/>
  <c r="D79" i="3"/>
  <c r="C79" i="3"/>
  <c r="B79" i="3"/>
  <c r="A79" i="3"/>
  <c r="CK78" i="3"/>
  <c r="AA78" i="3" s="1"/>
  <c r="CF78" i="3"/>
  <c r="CB78" i="3"/>
  <c r="BY78" i="3"/>
  <c r="BV78" i="3"/>
  <c r="CC78" i="3" s="1"/>
  <c r="BS78" i="3"/>
  <c r="W78" i="3" s="1"/>
  <c r="BP78" i="3"/>
  <c r="T78" i="3" s="1"/>
  <c r="BH78" i="3"/>
  <c r="BJ78" i="3" s="1"/>
  <c r="Q78" i="3" s="1"/>
  <c r="AL78" i="3"/>
  <c r="AK78" i="3"/>
  <c r="AG78" i="3"/>
  <c r="AF78" i="3"/>
  <c r="AE78" i="3"/>
  <c r="AD78" i="3"/>
  <c r="AC78" i="3"/>
  <c r="AB78" i="3"/>
  <c r="H8" i="4" s="1"/>
  <c r="Z78" i="3"/>
  <c r="S78" i="3"/>
  <c r="O78" i="3" s="1"/>
  <c r="E78" i="3"/>
  <c r="D78" i="3"/>
  <c r="C78" i="3"/>
  <c r="B78" i="3"/>
  <c r="A78" i="3"/>
  <c r="CK77" i="3"/>
  <c r="AA77" i="3" s="1"/>
  <c r="CF77" i="3"/>
  <c r="CB77" i="3"/>
  <c r="BY77" i="3"/>
  <c r="BV77" i="3"/>
  <c r="CC77" i="3" s="1"/>
  <c r="BS77" i="3"/>
  <c r="W77" i="3" s="1"/>
  <c r="BP77" i="3"/>
  <c r="T77" i="3" s="1"/>
  <c r="U77" i="3" s="1"/>
  <c r="Z7" i="4" s="1"/>
  <c r="BH77" i="3"/>
  <c r="BJ77" i="3" s="1"/>
  <c r="Q77" i="3" s="1"/>
  <c r="R77" i="3" s="1"/>
  <c r="AL77" i="3"/>
  <c r="AK77" i="3"/>
  <c r="AG77" i="3"/>
  <c r="AF77" i="3"/>
  <c r="AE77" i="3"/>
  <c r="AD77" i="3"/>
  <c r="AC77" i="3"/>
  <c r="AB77" i="3"/>
  <c r="H7" i="4" s="1"/>
  <c r="Z77" i="3"/>
  <c r="S77" i="3"/>
  <c r="E77" i="3"/>
  <c r="D77" i="3"/>
  <c r="C77" i="3"/>
  <c r="B77" i="3"/>
  <c r="A77" i="3"/>
  <c r="CK76" i="3"/>
  <c r="AA76" i="3" s="1"/>
  <c r="CF76" i="3"/>
  <c r="CB76" i="3"/>
  <c r="BY76" i="3"/>
  <c r="BV76" i="3"/>
  <c r="CC76" i="3" s="1"/>
  <c r="BS76" i="3"/>
  <c r="W76" i="3" s="1"/>
  <c r="BP76" i="3"/>
  <c r="T76" i="3" s="1"/>
  <c r="BH76" i="3"/>
  <c r="BJ76" i="3" s="1"/>
  <c r="Q76" i="3" s="1"/>
  <c r="AL76" i="3"/>
  <c r="AK76" i="3"/>
  <c r="AG76" i="3"/>
  <c r="AF76" i="3"/>
  <c r="AE76" i="3"/>
  <c r="AD76" i="3"/>
  <c r="AC76" i="3"/>
  <c r="AB76" i="3"/>
  <c r="H6" i="4" s="1"/>
  <c r="Z76" i="3"/>
  <c r="S76" i="3"/>
  <c r="O76" i="3" s="1"/>
  <c r="E76" i="3"/>
  <c r="D76" i="3"/>
  <c r="C76" i="3"/>
  <c r="B76" i="3"/>
  <c r="A76" i="3"/>
  <c r="CK75" i="3"/>
  <c r="AA75" i="3" s="1"/>
  <c r="CF75" i="3"/>
  <c r="CB75" i="3"/>
  <c r="BY75" i="3"/>
  <c r="BV75" i="3"/>
  <c r="BS75" i="3"/>
  <c r="W75" i="3" s="1"/>
  <c r="BP75" i="3"/>
  <c r="T75" i="3" s="1"/>
  <c r="BH75" i="3"/>
  <c r="BJ75" i="3" s="1"/>
  <c r="Q75" i="3" s="1"/>
  <c r="AL75" i="3"/>
  <c r="AK75" i="3"/>
  <c r="AG75" i="3"/>
  <c r="AF75" i="3"/>
  <c r="AE75" i="3"/>
  <c r="AD75" i="3"/>
  <c r="AC75" i="3"/>
  <c r="AB75" i="3"/>
  <c r="H5" i="4" s="1"/>
  <c r="Z75" i="3"/>
  <c r="S75" i="3"/>
  <c r="O75" i="3" s="1"/>
  <c r="E75" i="3"/>
  <c r="J75" i="3" s="1"/>
  <c r="D75" i="3"/>
  <c r="C75" i="3"/>
  <c r="B75" i="3"/>
  <c r="A75" i="3"/>
  <c r="CK74" i="3"/>
  <c r="AA74" i="3" s="1"/>
  <c r="CF74" i="3"/>
  <c r="CB74" i="3"/>
  <c r="BY74" i="3"/>
  <c r="BV74" i="3"/>
  <c r="BS74" i="3"/>
  <c r="W74" i="3" s="1"/>
  <c r="BP74" i="3"/>
  <c r="T74" i="3" s="1"/>
  <c r="U74" i="3" s="1"/>
  <c r="BH74" i="3"/>
  <c r="BJ74" i="3" s="1"/>
  <c r="Q74" i="3" s="1"/>
  <c r="AL74" i="3"/>
  <c r="AK74" i="3"/>
  <c r="AG74" i="3"/>
  <c r="AF74" i="3"/>
  <c r="AE74" i="3"/>
  <c r="AD74" i="3"/>
  <c r="AC74" i="3"/>
  <c r="AB74" i="3"/>
  <c r="Z74" i="3"/>
  <c r="S74" i="3"/>
  <c r="E74" i="3"/>
  <c r="D74" i="3"/>
  <c r="C74" i="3"/>
  <c r="B74" i="3"/>
  <c r="A74" i="3"/>
  <c r="CK73" i="3"/>
  <c r="AA73" i="3" s="1"/>
  <c r="CF73" i="3"/>
  <c r="CG73" i="3" s="1"/>
  <c r="V73" i="3" s="1"/>
  <c r="CB73" i="3"/>
  <c r="BY73" i="3"/>
  <c r="BV73" i="3"/>
  <c r="CC73" i="3" s="1"/>
  <c r="BS73" i="3"/>
  <c r="W73" i="3" s="1"/>
  <c r="BP73" i="3"/>
  <c r="T73" i="3" s="1"/>
  <c r="U73" i="3" s="1"/>
  <c r="BH73" i="3"/>
  <c r="BJ73" i="3" s="1"/>
  <c r="Q73" i="3" s="1"/>
  <c r="AL73" i="3"/>
  <c r="AK73" i="3"/>
  <c r="AG73" i="3"/>
  <c r="AF73" i="3"/>
  <c r="AE73" i="3"/>
  <c r="AD73" i="3"/>
  <c r="AC73" i="3"/>
  <c r="AB73" i="3"/>
  <c r="Z73" i="3"/>
  <c r="S73" i="3"/>
  <c r="O73" i="3" s="1"/>
  <c r="E73" i="3"/>
  <c r="D73" i="3"/>
  <c r="AZ73" i="3" s="1"/>
  <c r="C73" i="3"/>
  <c r="B73" i="3"/>
  <c r="A73" i="3"/>
  <c r="CK72" i="3"/>
  <c r="AA72" i="3" s="1"/>
  <c r="CF72" i="3"/>
  <c r="CB72" i="3"/>
  <c r="BY72" i="3"/>
  <c r="BV72" i="3"/>
  <c r="BS72" i="3"/>
  <c r="W72" i="3" s="1"/>
  <c r="BP72" i="3"/>
  <c r="T72" i="3" s="1"/>
  <c r="U72" i="3" s="1"/>
  <c r="BH72" i="3"/>
  <c r="BJ72" i="3" s="1"/>
  <c r="Q72" i="3" s="1"/>
  <c r="AL72" i="3"/>
  <c r="AB72" i="3"/>
  <c r="Z72" i="3"/>
  <c r="S72" i="3"/>
  <c r="O72" i="3" s="1"/>
  <c r="E72" i="3"/>
  <c r="D72" i="3"/>
  <c r="C72" i="3"/>
  <c r="B72" i="3"/>
  <c r="A72" i="3"/>
  <c r="H70" i="3"/>
  <c r="DQ65" i="3"/>
  <c r="DP65" i="3"/>
  <c r="DN65" i="3"/>
  <c r="DK65" i="3"/>
  <c r="S30" i="3" s="1"/>
  <c r="DJ65" i="3"/>
  <c r="DJ47" i="3" s="1"/>
  <c r="DG65" i="3"/>
  <c r="DH65" i="3" s="1"/>
  <c r="DF65" i="3"/>
  <c r="CY65" i="3"/>
  <c r="CZ65" i="3" s="1"/>
  <c r="Y30" i="3" s="1"/>
  <c r="CS65" i="3"/>
  <c r="J65" i="3" s="1"/>
  <c r="CG65" i="3"/>
  <c r="W91" i="3" s="1"/>
  <c r="W92" i="3" s="1"/>
  <c r="CC65" i="3"/>
  <c r="W89" i="3" s="1"/>
  <c r="W90" i="3" s="1"/>
  <c r="BQ65" i="3"/>
  <c r="BR65" i="3" s="1"/>
  <c r="M85" i="3" s="1"/>
  <c r="O92" i="3" s="1"/>
  <c r="BN65" i="3"/>
  <c r="BK65" i="3"/>
  <c r="V65" i="3" s="1"/>
  <c r="BE65" i="3"/>
  <c r="BD65" i="3" s="1"/>
  <c r="AW65" i="3"/>
  <c r="AQ65" i="3"/>
  <c r="AP65" i="3"/>
  <c r="AO65" i="3"/>
  <c r="AM65" i="3"/>
  <c r="AJ65" i="3"/>
  <c r="AF65" i="3"/>
  <c r="AD65" i="3"/>
  <c r="Z65" i="3"/>
  <c r="Y65" i="3"/>
  <c r="W65" i="3"/>
  <c r="DT65" i="3" s="1"/>
  <c r="DU65" i="3" s="1"/>
  <c r="G65" i="3" s="1"/>
  <c r="U65" i="3"/>
  <c r="R65" i="3"/>
  <c r="P65" i="3"/>
  <c r="F65" i="3"/>
  <c r="A65" i="3"/>
  <c r="DQ64" i="3"/>
  <c r="DP64" i="3"/>
  <c r="DN64" i="3"/>
  <c r="T29" i="3" s="1"/>
  <c r="DJ64" i="3"/>
  <c r="DK64" i="3" s="1"/>
  <c r="DG64" i="3"/>
  <c r="DH64" i="3" s="1"/>
  <c r="DF64" i="3"/>
  <c r="CY64" i="3"/>
  <c r="CZ64" i="3" s="1"/>
  <c r="Y29" i="3" s="1"/>
  <c r="CS64" i="3"/>
  <c r="J64" i="3" s="1"/>
  <c r="CG64" i="3"/>
  <c r="CC64" i="3"/>
  <c r="BR64" i="3"/>
  <c r="M84" i="3" s="1"/>
  <c r="BQ64" i="3"/>
  <c r="BN64" i="3"/>
  <c r="BK64" i="3"/>
  <c r="V64" i="3" s="1"/>
  <c r="BE64" i="3"/>
  <c r="BD64" i="3" s="1"/>
  <c r="AQ64" i="3"/>
  <c r="AP64" i="3"/>
  <c r="AO64" i="3"/>
  <c r="AR64" i="3" s="1"/>
  <c r="AM64" i="3"/>
  <c r="AJ64" i="3"/>
  <c r="AF64" i="3"/>
  <c r="AD64" i="3"/>
  <c r="Z64" i="3"/>
  <c r="Y64" i="3"/>
  <c r="W64" i="3"/>
  <c r="U64" i="3"/>
  <c r="R64" i="3"/>
  <c r="AW64" i="3" s="1"/>
  <c r="P64" i="3"/>
  <c r="F64" i="3"/>
  <c r="A64" i="3"/>
  <c r="DQ63" i="3"/>
  <c r="DP63" i="3"/>
  <c r="DN63" i="3"/>
  <c r="T28" i="3" s="1"/>
  <c r="DK63" i="3"/>
  <c r="DJ63" i="3"/>
  <c r="DG63" i="3"/>
  <c r="DF63" i="3"/>
  <c r="CY63" i="3"/>
  <c r="CZ63" i="3" s="1"/>
  <c r="Y28" i="3" s="1"/>
  <c r="CS63" i="3"/>
  <c r="J63" i="3" s="1"/>
  <c r="CG63" i="3"/>
  <c r="CC63" i="3"/>
  <c r="BQ63" i="3"/>
  <c r="BR63" i="3" s="1"/>
  <c r="M83" i="3" s="1"/>
  <c r="BN63" i="3"/>
  <c r="X63" i="3" s="1"/>
  <c r="BK63" i="3"/>
  <c r="V63" i="3" s="1"/>
  <c r="BE63" i="3"/>
  <c r="BD63" i="3" s="1"/>
  <c r="AQ63" i="3"/>
  <c r="AP63" i="3"/>
  <c r="AO63" i="3"/>
  <c r="AM63" i="3"/>
  <c r="AJ63" i="3"/>
  <c r="AF63" i="3"/>
  <c r="AD63" i="3"/>
  <c r="BR28" i="3" s="1"/>
  <c r="AA63" i="3"/>
  <c r="AK63" i="3" s="1"/>
  <c r="T13" i="4" s="1"/>
  <c r="Z63" i="3"/>
  <c r="Y63" i="3"/>
  <c r="W63" i="3"/>
  <c r="U63" i="3"/>
  <c r="R63" i="3"/>
  <c r="AW63" i="3" s="1"/>
  <c r="P63" i="3"/>
  <c r="F63" i="3"/>
  <c r="A63" i="3"/>
  <c r="DQ62" i="3"/>
  <c r="DP62" i="3"/>
  <c r="DN62" i="3"/>
  <c r="DJ62" i="3"/>
  <c r="DK62" i="3" s="1"/>
  <c r="DG62" i="3"/>
  <c r="DF62" i="3"/>
  <c r="CY62" i="3"/>
  <c r="CZ62" i="3" s="1"/>
  <c r="Y27" i="3" s="1"/>
  <c r="CS62" i="3"/>
  <c r="J62" i="3" s="1"/>
  <c r="Q62" i="3" s="1"/>
  <c r="CG62" i="3"/>
  <c r="CC62" i="3"/>
  <c r="BQ62" i="3"/>
  <c r="BR62" i="3" s="1"/>
  <c r="M82" i="3" s="1"/>
  <c r="BN62" i="3"/>
  <c r="AA62" i="3" s="1"/>
  <c r="BK62" i="3"/>
  <c r="V62" i="3" s="1"/>
  <c r="BE62" i="3"/>
  <c r="BD62" i="3" s="1"/>
  <c r="AQ62" i="3"/>
  <c r="AP62" i="3"/>
  <c r="AO62" i="3"/>
  <c r="AM62" i="3"/>
  <c r="AJ62" i="3"/>
  <c r="AF62" i="3"/>
  <c r="AD62" i="3"/>
  <c r="Z62" i="3"/>
  <c r="Y62" i="3"/>
  <c r="W62" i="3"/>
  <c r="U62" i="3"/>
  <c r="R62" i="3"/>
  <c r="AW62" i="3" s="1"/>
  <c r="P62" i="3"/>
  <c r="F62" i="3"/>
  <c r="A62" i="3"/>
  <c r="DQ61" i="3"/>
  <c r="DP61" i="3"/>
  <c r="DN61" i="3"/>
  <c r="T26" i="3" s="1"/>
  <c r="DK61" i="3"/>
  <c r="BY61" i="3" s="1"/>
  <c r="DJ61" i="3"/>
  <c r="DG61" i="3"/>
  <c r="DH61" i="3" s="1"/>
  <c r="DF61" i="3"/>
  <c r="CY61" i="3"/>
  <c r="CZ61" i="3" s="1"/>
  <c r="Y26" i="3" s="1"/>
  <c r="CS61" i="3"/>
  <c r="J61" i="3" s="1"/>
  <c r="BP26" i="3" s="1"/>
  <c r="CG61" i="3"/>
  <c r="CC61" i="3"/>
  <c r="BQ61" i="3"/>
  <c r="BR61" i="3" s="1"/>
  <c r="M81" i="3" s="1"/>
  <c r="BN61" i="3"/>
  <c r="AA61" i="3" s="1"/>
  <c r="BK61" i="3"/>
  <c r="V61" i="3" s="1"/>
  <c r="BE61" i="3"/>
  <c r="BD61" i="3" s="1"/>
  <c r="AQ61" i="3"/>
  <c r="AP61" i="3"/>
  <c r="AO61" i="3"/>
  <c r="AM61" i="3"/>
  <c r="AJ61" i="3"/>
  <c r="AF61" i="3"/>
  <c r="AD61" i="3"/>
  <c r="Z61" i="3"/>
  <c r="Y61" i="3"/>
  <c r="W61" i="3"/>
  <c r="U61" i="3"/>
  <c r="R61" i="3"/>
  <c r="AW61" i="3" s="1"/>
  <c r="P61" i="3"/>
  <c r="F61" i="3"/>
  <c r="A61" i="3"/>
  <c r="DQ60" i="3"/>
  <c r="DP60" i="3"/>
  <c r="DN60" i="3"/>
  <c r="T25" i="3" s="1"/>
  <c r="AD25" i="3" s="1"/>
  <c r="DJ60" i="3"/>
  <c r="DK60" i="3" s="1"/>
  <c r="BY60" i="3" s="1"/>
  <c r="DG60" i="3"/>
  <c r="DF60" i="3"/>
  <c r="CY60" i="3"/>
  <c r="CZ60" i="3" s="1"/>
  <c r="Y25" i="3" s="1"/>
  <c r="CS60" i="3"/>
  <c r="J60" i="3" s="1"/>
  <c r="BP25" i="3" s="1"/>
  <c r="CG60" i="3"/>
  <c r="CC60" i="3"/>
  <c r="BQ60" i="3"/>
  <c r="BR60" i="3" s="1"/>
  <c r="M80" i="3" s="1"/>
  <c r="BN60" i="3"/>
  <c r="BK60" i="3"/>
  <c r="BE60" i="3"/>
  <c r="BD60" i="3" s="1"/>
  <c r="AQ60" i="3"/>
  <c r="AP60" i="3"/>
  <c r="AO60" i="3"/>
  <c r="AR60" i="3" s="1"/>
  <c r="AM60" i="3"/>
  <c r="AJ60" i="3"/>
  <c r="AF60" i="3"/>
  <c r="AD60" i="3"/>
  <c r="Z60" i="3"/>
  <c r="Y60" i="3"/>
  <c r="W60" i="3"/>
  <c r="DT60" i="3" s="1"/>
  <c r="DU60" i="3" s="1"/>
  <c r="G60" i="3" s="1"/>
  <c r="V60" i="3"/>
  <c r="U60" i="3"/>
  <c r="R60" i="3"/>
  <c r="AW60" i="3" s="1"/>
  <c r="P60" i="3"/>
  <c r="DO60" i="3" s="1"/>
  <c r="F60" i="3"/>
  <c r="A60" i="3"/>
  <c r="DQ59" i="3"/>
  <c r="DP59" i="3"/>
  <c r="DN59" i="3"/>
  <c r="T24" i="3" s="1"/>
  <c r="DJ59" i="3"/>
  <c r="DK59" i="3" s="1"/>
  <c r="DG59" i="3"/>
  <c r="DH59" i="3" s="1"/>
  <c r="DF59" i="3"/>
  <c r="CY59" i="3"/>
  <c r="CZ59" i="3" s="1"/>
  <c r="Y24" i="3" s="1"/>
  <c r="CS59" i="3"/>
  <c r="J59" i="3" s="1"/>
  <c r="BP24" i="3" s="1"/>
  <c r="CG59" i="3"/>
  <c r="CC59" i="3"/>
  <c r="BQ59" i="3"/>
  <c r="BR59" i="3" s="1"/>
  <c r="M79" i="3" s="1"/>
  <c r="BN59" i="3"/>
  <c r="AA59" i="3" s="1"/>
  <c r="BK59" i="3"/>
  <c r="V59" i="3" s="1"/>
  <c r="BE59" i="3"/>
  <c r="BD59" i="3" s="1"/>
  <c r="AX59" i="3"/>
  <c r="AQ59" i="3"/>
  <c r="AP59" i="3"/>
  <c r="AO59" i="3"/>
  <c r="AM59" i="3"/>
  <c r="AJ59" i="3"/>
  <c r="AF59" i="3"/>
  <c r="AD59" i="3"/>
  <c r="BR24" i="3" s="1"/>
  <c r="Z59" i="3"/>
  <c r="Y59" i="3"/>
  <c r="W59" i="3"/>
  <c r="U59" i="3"/>
  <c r="R59" i="3"/>
  <c r="AW59" i="3" s="1"/>
  <c r="P59" i="3"/>
  <c r="F59" i="3"/>
  <c r="A59" i="3"/>
  <c r="DQ58" i="3"/>
  <c r="DP58" i="3"/>
  <c r="DN58" i="3"/>
  <c r="T23" i="3" s="1"/>
  <c r="DJ58" i="3"/>
  <c r="DK58" i="3" s="1"/>
  <c r="DG58" i="3"/>
  <c r="DH58" i="3" s="1"/>
  <c r="DF58" i="3"/>
  <c r="CY58" i="3"/>
  <c r="CZ58" i="3" s="1"/>
  <c r="Y23" i="3" s="1"/>
  <c r="CS58" i="3"/>
  <c r="J58" i="3" s="1"/>
  <c r="CG58" i="3"/>
  <c r="CC58" i="3"/>
  <c r="BQ58" i="3"/>
  <c r="BR58" i="3" s="1"/>
  <c r="M78" i="3" s="1"/>
  <c r="BN58" i="3"/>
  <c r="AA58" i="3" s="1"/>
  <c r="AK58" i="3" s="1"/>
  <c r="T8" i="4" s="1"/>
  <c r="BK58" i="3"/>
  <c r="V58" i="3" s="1"/>
  <c r="BE58" i="3"/>
  <c r="BD58" i="3" s="1"/>
  <c r="AQ58" i="3"/>
  <c r="AP58" i="3"/>
  <c r="AO58" i="3"/>
  <c r="AM58" i="3"/>
  <c r="AJ58" i="3"/>
  <c r="AF58" i="3"/>
  <c r="AD58" i="3"/>
  <c r="Z58" i="3"/>
  <c r="Y58" i="3"/>
  <c r="X58" i="3"/>
  <c r="W58" i="3"/>
  <c r="DT58" i="3" s="1"/>
  <c r="DU58" i="3" s="1"/>
  <c r="G58" i="3" s="1"/>
  <c r="U58" i="3"/>
  <c r="R58" i="3"/>
  <c r="AW58" i="3" s="1"/>
  <c r="P58" i="3"/>
  <c r="F58" i="3"/>
  <c r="A58" i="3"/>
  <c r="DQ57" i="3"/>
  <c r="DP57" i="3"/>
  <c r="DN57" i="3"/>
  <c r="DJ57" i="3"/>
  <c r="DK57" i="3" s="1"/>
  <c r="DG57" i="3"/>
  <c r="DH57" i="3" s="1"/>
  <c r="DF57" i="3"/>
  <c r="CY57" i="3"/>
  <c r="CZ57" i="3" s="1"/>
  <c r="Y22" i="3" s="1"/>
  <c r="CS57" i="3"/>
  <c r="J57" i="3" s="1"/>
  <c r="BP22" i="3" s="1"/>
  <c r="CG57" i="3"/>
  <c r="CC57" i="3"/>
  <c r="BQ57" i="3"/>
  <c r="BR57" i="3" s="1"/>
  <c r="M77" i="3" s="1"/>
  <c r="BN57" i="3"/>
  <c r="AA57" i="3" s="1"/>
  <c r="BK57" i="3"/>
  <c r="V57" i="3" s="1"/>
  <c r="BE57" i="3"/>
  <c r="BD57" i="3" s="1"/>
  <c r="AX57" i="3"/>
  <c r="AQ57" i="3"/>
  <c r="AP57" i="3"/>
  <c r="AO57" i="3"/>
  <c r="AM57" i="3"/>
  <c r="AJ57" i="3"/>
  <c r="AF57" i="3"/>
  <c r="AD57" i="3"/>
  <c r="BR22" i="3" s="1"/>
  <c r="Z57" i="3"/>
  <c r="Y57" i="3"/>
  <c r="X57" i="3"/>
  <c r="W57" i="3"/>
  <c r="U57" i="3"/>
  <c r="R57" i="3"/>
  <c r="AW57" i="3" s="1"/>
  <c r="P57" i="3"/>
  <c r="DO57" i="3" s="1"/>
  <c r="F57" i="3"/>
  <c r="A57" i="3"/>
  <c r="DQ56" i="3"/>
  <c r="DP56" i="3"/>
  <c r="DN56" i="3"/>
  <c r="T21" i="3" s="1"/>
  <c r="DK56" i="3"/>
  <c r="BY56" i="3" s="1"/>
  <c r="DJ56" i="3"/>
  <c r="DG56" i="3"/>
  <c r="DF56" i="3"/>
  <c r="CY56" i="3"/>
  <c r="CZ56" i="3" s="1"/>
  <c r="Y21" i="3" s="1"/>
  <c r="CS56" i="3"/>
  <c r="J56" i="3" s="1"/>
  <c r="CG56" i="3"/>
  <c r="CC56" i="3"/>
  <c r="BQ56" i="3"/>
  <c r="BR56" i="3" s="1"/>
  <c r="M76" i="3" s="1"/>
  <c r="BN56" i="3"/>
  <c r="AA56" i="3" s="1"/>
  <c r="AN56" i="3" s="1"/>
  <c r="BK56" i="3"/>
  <c r="BE56" i="3"/>
  <c r="BD56" i="3" s="1"/>
  <c r="AQ56" i="3"/>
  <c r="AP56" i="3"/>
  <c r="AO56" i="3"/>
  <c r="AM56" i="3"/>
  <c r="AK56" i="3"/>
  <c r="T6" i="4" s="1"/>
  <c r="AJ56" i="3"/>
  <c r="AF56" i="3"/>
  <c r="AD56" i="3"/>
  <c r="BR21" i="3" s="1"/>
  <c r="Z56" i="3"/>
  <c r="Y56" i="3"/>
  <c r="X56" i="3"/>
  <c r="W56" i="3"/>
  <c r="V56" i="3"/>
  <c r="U56" i="3"/>
  <c r="R56" i="3"/>
  <c r="AW56" i="3" s="1"/>
  <c r="P56" i="3"/>
  <c r="DO56" i="3" s="1"/>
  <c r="F56" i="3"/>
  <c r="A56" i="3"/>
  <c r="DQ55" i="3"/>
  <c r="DP55" i="3"/>
  <c r="DN55" i="3"/>
  <c r="T20" i="3" s="1"/>
  <c r="DK55" i="3"/>
  <c r="BD20" i="3" s="1"/>
  <c r="DJ55" i="3"/>
  <c r="DG55" i="3"/>
  <c r="DH55" i="3" s="1"/>
  <c r="DF55" i="3"/>
  <c r="CY55" i="3"/>
  <c r="CZ55" i="3" s="1"/>
  <c r="CS55" i="3"/>
  <c r="CG55" i="3"/>
  <c r="CC55" i="3"/>
  <c r="BQ55" i="3"/>
  <c r="BR55" i="3" s="1"/>
  <c r="M75" i="3" s="1"/>
  <c r="BN55" i="3"/>
  <c r="AX55" i="3" s="1"/>
  <c r="BK55" i="3"/>
  <c r="V55" i="3" s="1"/>
  <c r="BE55" i="3"/>
  <c r="BD55" i="3" s="1"/>
  <c r="AQ55" i="3"/>
  <c r="AP55" i="3"/>
  <c r="AO55" i="3"/>
  <c r="AM55" i="3"/>
  <c r="AJ55" i="3"/>
  <c r="AF55" i="3"/>
  <c r="AD55" i="3"/>
  <c r="BR20" i="3" s="1"/>
  <c r="Z55" i="3"/>
  <c r="Y55" i="3"/>
  <c r="W55" i="3"/>
  <c r="U55" i="3"/>
  <c r="R55" i="3"/>
  <c r="AW55" i="3" s="1"/>
  <c r="P55" i="3"/>
  <c r="J55" i="3"/>
  <c r="BP20" i="3" s="1"/>
  <c r="F55" i="3"/>
  <c r="A55" i="3"/>
  <c r="DQ54" i="3"/>
  <c r="DP54" i="3"/>
  <c r="DN54" i="3"/>
  <c r="T19" i="3" s="1"/>
  <c r="AD19" i="3" s="1"/>
  <c r="DK54" i="3"/>
  <c r="BY54" i="3" s="1"/>
  <c r="DJ54" i="3"/>
  <c r="DG54" i="3"/>
  <c r="DH54" i="3" s="1"/>
  <c r="DF54" i="3"/>
  <c r="CY54" i="3"/>
  <c r="CZ54" i="3" s="1"/>
  <c r="Y19" i="3" s="1"/>
  <c r="CS54" i="3"/>
  <c r="J54" i="3" s="1"/>
  <c r="CG54" i="3"/>
  <c r="CC54" i="3"/>
  <c r="BQ54" i="3"/>
  <c r="BR54" i="3" s="1"/>
  <c r="M74" i="3" s="1"/>
  <c r="BN54" i="3"/>
  <c r="X54" i="3" s="1"/>
  <c r="BK54" i="3"/>
  <c r="V54" i="3" s="1"/>
  <c r="BE54" i="3"/>
  <c r="BD54" i="3" s="1"/>
  <c r="AQ54" i="3"/>
  <c r="AP54" i="3"/>
  <c r="AO54" i="3"/>
  <c r="AM54" i="3"/>
  <c r="AJ54" i="3"/>
  <c r="AF54" i="3"/>
  <c r="AD54" i="3"/>
  <c r="Z54" i="3"/>
  <c r="Y54" i="3"/>
  <c r="W54" i="3"/>
  <c r="U54" i="3"/>
  <c r="R54" i="3"/>
  <c r="AW54" i="3" s="1"/>
  <c r="P54" i="3"/>
  <c r="DO54" i="3" s="1"/>
  <c r="F54" i="3"/>
  <c r="A54" i="3"/>
  <c r="DQ53" i="3"/>
  <c r="DP53" i="3"/>
  <c r="DN53" i="3"/>
  <c r="T18" i="3" s="1"/>
  <c r="DK53" i="3"/>
  <c r="BY53" i="3" s="1"/>
  <c r="DJ53" i="3"/>
  <c r="DG53" i="3"/>
  <c r="DF53" i="3"/>
  <c r="CY53" i="3"/>
  <c r="CZ53" i="3" s="1"/>
  <c r="Y18" i="3" s="1"/>
  <c r="CS53" i="3"/>
  <c r="J53" i="3" s="1"/>
  <c r="M53" i="3" s="1"/>
  <c r="CG53" i="3"/>
  <c r="CC53" i="3"/>
  <c r="BQ53" i="3"/>
  <c r="BR53" i="3" s="1"/>
  <c r="M73" i="3" s="1"/>
  <c r="BN53" i="3"/>
  <c r="AX53" i="3" s="1"/>
  <c r="BK53" i="3"/>
  <c r="BE53" i="3"/>
  <c r="BD53" i="3" s="1"/>
  <c r="AQ53" i="3"/>
  <c r="AP53" i="3"/>
  <c r="AO53" i="3"/>
  <c r="AM53" i="3"/>
  <c r="AJ53" i="3"/>
  <c r="AF53" i="3"/>
  <c r="AD53" i="3"/>
  <c r="BR18" i="3" s="1"/>
  <c r="Z53" i="3"/>
  <c r="Y53" i="3"/>
  <c r="W53" i="3"/>
  <c r="V53" i="3"/>
  <c r="U53" i="3"/>
  <c r="R53" i="3"/>
  <c r="AW53" i="3" s="1"/>
  <c r="P53" i="3"/>
  <c r="F53" i="3"/>
  <c r="A53" i="3"/>
  <c r="DQ52" i="3"/>
  <c r="DP52" i="3"/>
  <c r="DN52" i="3"/>
  <c r="T17" i="3" s="1"/>
  <c r="DK52" i="3"/>
  <c r="BY52" i="3" s="1"/>
  <c r="DJ52" i="3"/>
  <c r="DG52" i="3"/>
  <c r="DH52" i="3" s="1"/>
  <c r="DF52" i="3"/>
  <c r="CY52" i="3"/>
  <c r="CZ52" i="3" s="1"/>
  <c r="Y17" i="3" s="1"/>
  <c r="CS52" i="3"/>
  <c r="J52" i="3" s="1"/>
  <c r="O52" i="3" s="1"/>
  <c r="F72" i="3" s="1"/>
  <c r="CG52" i="3"/>
  <c r="CC52" i="3"/>
  <c r="BQ52" i="3"/>
  <c r="BR52" i="3" s="1"/>
  <c r="M72" i="3" s="1"/>
  <c r="BN52" i="3"/>
  <c r="BK52" i="3"/>
  <c r="V52" i="3" s="1"/>
  <c r="BE52" i="3"/>
  <c r="BD52" i="3" s="1"/>
  <c r="AQ52" i="3"/>
  <c r="AP52" i="3"/>
  <c r="AO52" i="3"/>
  <c r="AM52" i="3"/>
  <c r="AJ52" i="3"/>
  <c r="AF52" i="3"/>
  <c r="AD52" i="3"/>
  <c r="BR17" i="3" s="1"/>
  <c r="Z52" i="3"/>
  <c r="Y52" i="3"/>
  <c r="X52" i="3"/>
  <c r="W52" i="3"/>
  <c r="U52" i="3"/>
  <c r="R52" i="3"/>
  <c r="AW52" i="3" s="1"/>
  <c r="P52" i="3"/>
  <c r="F52" i="3"/>
  <c r="A52" i="3"/>
  <c r="DM47" i="3"/>
  <c r="DL47" i="3"/>
  <c r="DN46" i="3" s="1"/>
  <c r="T13" i="3" s="1"/>
  <c r="DI47" i="3"/>
  <c r="DK46" i="3" s="1"/>
  <c r="S13" i="3" s="1"/>
  <c r="CM47" i="3"/>
  <c r="CL47" i="3"/>
  <c r="CK47" i="3"/>
  <c r="CJ47" i="3"/>
  <c r="CI47" i="3"/>
  <c r="CH47" i="3"/>
  <c r="CG47" i="3"/>
  <c r="N47" i="3"/>
  <c r="J47" i="3"/>
  <c r="AP46" i="3"/>
  <c r="AK46" i="3"/>
  <c r="N46" i="3"/>
  <c r="J46" i="3"/>
  <c r="AP45" i="3"/>
  <c r="AK45" i="3"/>
  <c r="N45" i="3"/>
  <c r="J45" i="3"/>
  <c r="N44" i="3"/>
  <c r="J44" i="3"/>
  <c r="AP43" i="3"/>
  <c r="AK43" i="3"/>
  <c r="N43" i="3"/>
  <c r="J43" i="3"/>
  <c r="M42" i="3"/>
  <c r="Q42" i="3" s="1"/>
  <c r="K42" i="3"/>
  <c r="O42" i="3" s="1"/>
  <c r="BC41" i="3"/>
  <c r="AY41" i="3"/>
  <c r="AW41" i="3"/>
  <c r="AL99" i="3" s="1"/>
  <c r="AV41" i="3"/>
  <c r="AJ99" i="3" s="1"/>
  <c r="AU41" i="3"/>
  <c r="AH99" i="3" s="1"/>
  <c r="AG41" i="3"/>
  <c r="AK99" i="3" s="1"/>
  <c r="AE41" i="3"/>
  <c r="R41" i="3"/>
  <c r="AG91" i="3" s="1"/>
  <c r="O41" i="3"/>
  <c r="L41" i="3"/>
  <c r="AF91" i="3" s="1"/>
  <c r="H41" i="3"/>
  <c r="AE91" i="3" s="1"/>
  <c r="F41" i="3"/>
  <c r="AD91" i="3" s="1"/>
  <c r="B41" i="3"/>
  <c r="BC40" i="3"/>
  <c r="AY40" i="3"/>
  <c r="AW40" i="3"/>
  <c r="AL98" i="3" s="1"/>
  <c r="AV40" i="3"/>
  <c r="AJ98" i="3" s="1"/>
  <c r="AU40" i="3"/>
  <c r="AH98" i="3" s="1"/>
  <c r="AG40" i="3"/>
  <c r="AK98" i="3" s="1"/>
  <c r="AE40" i="3"/>
  <c r="R40" i="3"/>
  <c r="AG90" i="3" s="1"/>
  <c r="O40" i="3"/>
  <c r="L40" i="3"/>
  <c r="AF90" i="3" s="1"/>
  <c r="H40" i="3"/>
  <c r="AE90" i="3" s="1"/>
  <c r="F40" i="3"/>
  <c r="AD90" i="3" s="1"/>
  <c r="B40" i="3"/>
  <c r="BC39" i="3"/>
  <c r="AY39" i="3"/>
  <c r="AW39" i="3"/>
  <c r="AL97" i="3" s="1"/>
  <c r="AV39" i="3"/>
  <c r="AJ97" i="3" s="1"/>
  <c r="AU39" i="3"/>
  <c r="AH97" i="3" s="1"/>
  <c r="AG39" i="3"/>
  <c r="AK97" i="3" s="1"/>
  <c r="AE39" i="3"/>
  <c r="R39" i="3"/>
  <c r="AG89" i="3" s="1"/>
  <c r="O39" i="3"/>
  <c r="L39" i="3"/>
  <c r="AF89" i="3" s="1"/>
  <c r="H39" i="3"/>
  <c r="AE89" i="3" s="1"/>
  <c r="F39" i="3"/>
  <c r="AD89" i="3" s="1"/>
  <c r="B39" i="3"/>
  <c r="BC38" i="3"/>
  <c r="AY38" i="3"/>
  <c r="AW38" i="3"/>
  <c r="AL96" i="3" s="1"/>
  <c r="AV38" i="3"/>
  <c r="AJ96" i="3" s="1"/>
  <c r="AU38" i="3"/>
  <c r="AH96" i="3" s="1"/>
  <c r="AG38" i="3"/>
  <c r="AK96" i="3" s="1"/>
  <c r="AE38" i="3"/>
  <c r="R38" i="3"/>
  <c r="AG88" i="3" s="1"/>
  <c r="O38" i="3"/>
  <c r="L38" i="3"/>
  <c r="AF88" i="3" s="1"/>
  <c r="H38" i="3"/>
  <c r="AE88" i="3" s="1"/>
  <c r="F38" i="3"/>
  <c r="AD88" i="3" s="1"/>
  <c r="B38" i="3"/>
  <c r="BE36" i="3"/>
  <c r="BE35" i="3"/>
  <c r="BE34" i="3"/>
  <c r="BE33" i="3"/>
  <c r="BE32" i="3"/>
  <c r="BV31" i="3"/>
  <c r="DR30" i="3"/>
  <c r="DH30" i="3"/>
  <c r="CR30" i="3"/>
  <c r="CB30" i="3"/>
  <c r="BW30" i="3"/>
  <c r="BV30" i="3"/>
  <c r="BX30" i="3" s="1"/>
  <c r="BR30" i="3"/>
  <c r="BP30" i="3"/>
  <c r="BF30" i="3"/>
  <c r="BG30" i="3" s="1"/>
  <c r="BD30" i="3"/>
  <c r="BB30" i="3"/>
  <c r="AM30" i="3"/>
  <c r="Z30" i="3"/>
  <c r="T30" i="3"/>
  <c r="Q30" i="3"/>
  <c r="BJ30" i="3" s="1"/>
  <c r="P30" i="3"/>
  <c r="N30" i="3"/>
  <c r="M30" i="3"/>
  <c r="K30" i="3"/>
  <c r="I30" i="3"/>
  <c r="G30" i="3"/>
  <c r="N15" i="4" s="1"/>
  <c r="DR29" i="3"/>
  <c r="DH29" i="3"/>
  <c r="CR29" i="3"/>
  <c r="CB29" i="3"/>
  <c r="BW29" i="3"/>
  <c r="BV29" i="3"/>
  <c r="BX29" i="3" s="1"/>
  <c r="BR29" i="3"/>
  <c r="BF29" i="3"/>
  <c r="BG29" i="3" s="1"/>
  <c r="BB29" i="3"/>
  <c r="AM29" i="3"/>
  <c r="Q29" i="3"/>
  <c r="CA29" i="3" s="1"/>
  <c r="CC29" i="3" s="1"/>
  <c r="P29" i="3"/>
  <c r="N29" i="3"/>
  <c r="M29" i="3"/>
  <c r="K29" i="3"/>
  <c r="I29" i="3"/>
  <c r="G29" i="3"/>
  <c r="N14" i="4" s="1"/>
  <c r="DR28" i="3"/>
  <c r="DH28" i="3"/>
  <c r="CR28" i="3"/>
  <c r="CB28" i="3"/>
  <c r="BW28" i="3"/>
  <c r="BV28" i="3"/>
  <c r="BX28" i="3" s="1"/>
  <c r="BP28" i="3"/>
  <c r="BF28" i="3"/>
  <c r="BG28" i="3" s="1"/>
  <c r="BB28" i="3"/>
  <c r="AM28" i="3"/>
  <c r="Q28" i="3"/>
  <c r="P28" i="3"/>
  <c r="N28" i="3"/>
  <c r="M28" i="3"/>
  <c r="K28" i="3"/>
  <c r="I28" i="3"/>
  <c r="G28" i="3"/>
  <c r="N13" i="4" s="1"/>
  <c r="DR27" i="3"/>
  <c r="DH27" i="3"/>
  <c r="CR27" i="3"/>
  <c r="CB27" i="3"/>
  <c r="BW27" i="3"/>
  <c r="BV27" i="3"/>
  <c r="BX27" i="3" s="1"/>
  <c r="BR27" i="3"/>
  <c r="BF27" i="3"/>
  <c r="BG27" i="3" s="1"/>
  <c r="BB27" i="3"/>
  <c r="AM27" i="3"/>
  <c r="T27" i="3"/>
  <c r="Q27" i="3"/>
  <c r="CA27" i="3" s="1"/>
  <c r="P27" i="3"/>
  <c r="N27" i="3"/>
  <c r="M27" i="3"/>
  <c r="K27" i="3"/>
  <c r="I27" i="3"/>
  <c r="G27" i="3"/>
  <c r="N12" i="4" s="1"/>
  <c r="DR26" i="3"/>
  <c r="DH26" i="3"/>
  <c r="CR26" i="3"/>
  <c r="CB26" i="3"/>
  <c r="BW26" i="3"/>
  <c r="BV26" i="3"/>
  <c r="BX26" i="3" s="1"/>
  <c r="BR26" i="3"/>
  <c r="BO26" i="3"/>
  <c r="BF26" i="3"/>
  <c r="BG26" i="3" s="1"/>
  <c r="BD26" i="3"/>
  <c r="BB26" i="3"/>
  <c r="AM26" i="3"/>
  <c r="S26" i="3"/>
  <c r="Q26" i="3"/>
  <c r="BJ26" i="3" s="1"/>
  <c r="P26" i="3"/>
  <c r="N26" i="3"/>
  <c r="M26" i="3"/>
  <c r="K26" i="3"/>
  <c r="I26" i="3"/>
  <c r="G26" i="3"/>
  <c r="N11" i="4" s="1"/>
  <c r="DR25" i="3"/>
  <c r="DH25" i="3"/>
  <c r="CR25" i="3"/>
  <c r="CB25" i="3"/>
  <c r="BW25" i="3"/>
  <c r="BV25" i="3"/>
  <c r="BX25" i="3" s="1"/>
  <c r="BR25" i="3"/>
  <c r="BO25" i="3"/>
  <c r="BF25" i="3"/>
  <c r="BG25" i="3" s="1"/>
  <c r="BB25" i="3"/>
  <c r="AM25" i="3"/>
  <c r="Q25" i="3"/>
  <c r="CA25" i="3" s="1"/>
  <c r="P25" i="3"/>
  <c r="N25" i="3"/>
  <c r="M25" i="3"/>
  <c r="K25" i="3"/>
  <c r="I25" i="3"/>
  <c r="G25" i="3"/>
  <c r="N10" i="4" s="1"/>
  <c r="DR24" i="3"/>
  <c r="DH24" i="3"/>
  <c r="CR24" i="3"/>
  <c r="CB24" i="3"/>
  <c r="BW24" i="3"/>
  <c r="BV24" i="3"/>
  <c r="BX24" i="3" s="1"/>
  <c r="BF24" i="3"/>
  <c r="BG24" i="3" s="1"/>
  <c r="BB24" i="3"/>
  <c r="AM24" i="3"/>
  <c r="Z24" i="3"/>
  <c r="Q24" i="3"/>
  <c r="P24" i="3"/>
  <c r="N24" i="3"/>
  <c r="M24" i="3"/>
  <c r="K24" i="3"/>
  <c r="I24" i="3"/>
  <c r="G24" i="3"/>
  <c r="N9" i="4" s="1"/>
  <c r="DR23" i="3"/>
  <c r="DH23" i="3"/>
  <c r="CR23" i="3"/>
  <c r="CB23" i="3"/>
  <c r="BW23" i="3"/>
  <c r="BV23" i="3"/>
  <c r="BX23" i="3" s="1"/>
  <c r="BR23" i="3"/>
  <c r="BF23" i="3"/>
  <c r="BG23" i="3" s="1"/>
  <c r="BB23" i="3"/>
  <c r="AM23" i="3"/>
  <c r="Q23" i="3"/>
  <c r="CA23" i="3" s="1"/>
  <c r="P23" i="3"/>
  <c r="N23" i="3"/>
  <c r="M23" i="3"/>
  <c r="K23" i="3"/>
  <c r="I23" i="3"/>
  <c r="G23" i="3"/>
  <c r="N8" i="4" s="1"/>
  <c r="DR22" i="3"/>
  <c r="DH22" i="3"/>
  <c r="CR22" i="3"/>
  <c r="CB22" i="3"/>
  <c r="BW22" i="3"/>
  <c r="BV22" i="3"/>
  <c r="BX22" i="3" s="1"/>
  <c r="BO22" i="3"/>
  <c r="BF22" i="3"/>
  <c r="BG22" i="3" s="1"/>
  <c r="BB22" i="3"/>
  <c r="AM22" i="3"/>
  <c r="T22" i="3"/>
  <c r="AD22" i="3" s="1"/>
  <c r="Q22" i="3"/>
  <c r="CA22" i="3" s="1"/>
  <c r="P22" i="3"/>
  <c r="N22" i="3"/>
  <c r="M22" i="3"/>
  <c r="K22" i="3"/>
  <c r="I22" i="3"/>
  <c r="G22" i="3"/>
  <c r="N7" i="4" s="1"/>
  <c r="DR21" i="3"/>
  <c r="DH21" i="3"/>
  <c r="CR21" i="3"/>
  <c r="CV21" i="3" s="1"/>
  <c r="AH56" i="3" s="1"/>
  <c r="CB21" i="3"/>
  <c r="CA21" i="3"/>
  <c r="CC21" i="3" s="1"/>
  <c r="BW21" i="3"/>
  <c r="BV21" i="3"/>
  <c r="BX21" i="3" s="1"/>
  <c r="BP21" i="3"/>
  <c r="BO21" i="3"/>
  <c r="BF21" i="3"/>
  <c r="BG21" i="3" s="1"/>
  <c r="BB21" i="3"/>
  <c r="AM21" i="3"/>
  <c r="Q21" i="3"/>
  <c r="BJ21" i="3" s="1"/>
  <c r="P21" i="3"/>
  <c r="N21" i="3"/>
  <c r="M21" i="3"/>
  <c r="K21" i="3"/>
  <c r="I21" i="3"/>
  <c r="G21" i="3"/>
  <c r="N6" i="4" s="1"/>
  <c r="DR20" i="3"/>
  <c r="DH20" i="3"/>
  <c r="CR20" i="3"/>
  <c r="CV20" i="3" s="1"/>
  <c r="AH55" i="3" s="1"/>
  <c r="CB20" i="3"/>
  <c r="BW20" i="3"/>
  <c r="BV20" i="3"/>
  <c r="BX20" i="3" s="1"/>
  <c r="BF20" i="3"/>
  <c r="BG20" i="3" s="1"/>
  <c r="BB20" i="3"/>
  <c r="AM20" i="3"/>
  <c r="Z20" i="3"/>
  <c r="Y20" i="3"/>
  <c r="Q20" i="3"/>
  <c r="BJ20" i="3" s="1"/>
  <c r="P20" i="3"/>
  <c r="N20" i="3"/>
  <c r="M20" i="3"/>
  <c r="K20" i="3"/>
  <c r="I20" i="3"/>
  <c r="G20" i="3"/>
  <c r="N5" i="4" s="1"/>
  <c r="DR19" i="3"/>
  <c r="DH19" i="3"/>
  <c r="CR19" i="3"/>
  <c r="CV19" i="3" s="1"/>
  <c r="AH54" i="3" s="1"/>
  <c r="CB19" i="3"/>
  <c r="BW19" i="3"/>
  <c r="BV19" i="3"/>
  <c r="BX19" i="3" s="1"/>
  <c r="BR19" i="3"/>
  <c r="BF19" i="3"/>
  <c r="BG19" i="3" s="1"/>
  <c r="BB19" i="3"/>
  <c r="AM19" i="3"/>
  <c r="Z19" i="3"/>
  <c r="Q19" i="3"/>
  <c r="CA19" i="3" s="1"/>
  <c r="P19" i="3"/>
  <c r="N19" i="3"/>
  <c r="M19" i="3"/>
  <c r="K19" i="3"/>
  <c r="I19" i="3"/>
  <c r="G19" i="3"/>
  <c r="DR18" i="3"/>
  <c r="DH18" i="3"/>
  <c r="CR18" i="3"/>
  <c r="CV18" i="3" s="1"/>
  <c r="AH53" i="3" s="1"/>
  <c r="CB18" i="3"/>
  <c r="BW18" i="3"/>
  <c r="BV18" i="3"/>
  <c r="BX18" i="3" s="1"/>
  <c r="BF18" i="3"/>
  <c r="BG18" i="3" s="1"/>
  <c r="BB18" i="3"/>
  <c r="AM18" i="3"/>
  <c r="Q18" i="3"/>
  <c r="BJ18" i="3" s="1"/>
  <c r="P18" i="3"/>
  <c r="N18" i="3"/>
  <c r="M18" i="3"/>
  <c r="K18" i="3"/>
  <c r="I18" i="3"/>
  <c r="G18" i="3"/>
  <c r="DR17" i="3"/>
  <c r="DH17" i="3"/>
  <c r="CR17" i="3"/>
  <c r="CV17" i="3" s="1"/>
  <c r="AH52" i="3" s="1"/>
  <c r="CB17" i="3"/>
  <c r="BW17" i="3"/>
  <c r="BV17" i="3"/>
  <c r="BX17" i="3" s="1"/>
  <c r="BO17" i="3"/>
  <c r="BF17" i="3"/>
  <c r="BG17" i="3" s="1"/>
  <c r="BD17" i="3"/>
  <c r="BB17" i="3"/>
  <c r="AM17" i="3"/>
  <c r="S17" i="3"/>
  <c r="Q17" i="3"/>
  <c r="CA17" i="3" s="1"/>
  <c r="P17" i="3"/>
  <c r="N17" i="3"/>
  <c r="M17" i="3"/>
  <c r="K17" i="3"/>
  <c r="I17" i="3"/>
  <c r="G17" i="3"/>
  <c r="DM12" i="3"/>
  <c r="DL12" i="3"/>
  <c r="DK12" i="3"/>
  <c r="DH12" i="3"/>
  <c r="DG12" i="3"/>
  <c r="DF12" i="3"/>
  <c r="DE12" i="3"/>
  <c r="DD12" i="3"/>
  <c r="DA12" i="3"/>
  <c r="CY12" i="3"/>
  <c r="CX12" i="3"/>
  <c r="AO6" i="3"/>
  <c r="AO5" i="3"/>
  <c r="AO4" i="3"/>
  <c r="AO3" i="3"/>
  <c r="AO2" i="3"/>
  <c r="Q52" i="2"/>
  <c r="Q51" i="2"/>
  <c r="Q50" i="2"/>
  <c r="Q49" i="2"/>
  <c r="Q48" i="2"/>
  <c r="Q47" i="2"/>
  <c r="R48" i="2" s="1"/>
  <c r="T48" i="2" s="1"/>
  <c r="Q46" i="2"/>
  <c r="Q45" i="2"/>
  <c r="R45" i="2" s="1"/>
  <c r="T45" i="2" s="1"/>
  <c r="Q44" i="2"/>
  <c r="Q43" i="2"/>
  <c r="Q42" i="2"/>
  <c r="M34" i="2"/>
  <c r="M32" i="2"/>
  <c r="J25" i="2"/>
  <c r="K25" i="2" s="1"/>
  <c r="B3" i="4"/>
  <c r="J6" i="2"/>
  <c r="K6" i="2" s="1"/>
  <c r="L6" i="2" s="1"/>
  <c r="BC59" i="1"/>
  <c r="BD59" i="1" s="1"/>
  <c r="BE59" i="1" s="1"/>
  <c r="BA59" i="1"/>
  <c r="Y59" i="1"/>
  <c r="X59" i="1"/>
  <c r="BC57" i="1"/>
  <c r="BD57" i="1" s="1"/>
  <c r="BE57" i="1" s="1"/>
  <c r="BA57" i="1"/>
  <c r="BD56" i="1"/>
  <c r="BA56" i="1"/>
  <c r="BE56" i="1" s="1"/>
  <c r="BC55" i="1"/>
  <c r="BD55" i="1" s="1"/>
  <c r="BA55" i="1"/>
  <c r="BC54" i="1"/>
  <c r="BD54" i="1" s="1"/>
  <c r="BE54" i="1" s="1"/>
  <c r="BA54" i="1"/>
  <c r="BD53" i="1"/>
  <c r="BA53" i="1"/>
  <c r="BE53" i="1" s="1"/>
  <c r="BD52" i="1"/>
  <c r="BA52" i="1"/>
  <c r="BE52" i="1" s="1"/>
  <c r="BC51" i="1"/>
  <c r="BD51" i="1" s="1"/>
  <c r="BE51" i="1" s="1"/>
  <c r="BA51" i="1"/>
  <c r="BC50" i="1"/>
  <c r="BD50" i="1" s="1"/>
  <c r="BA50" i="1"/>
  <c r="BC49" i="1"/>
  <c r="BD49" i="1" s="1"/>
  <c r="BE49" i="1" s="1"/>
  <c r="BA49" i="1"/>
  <c r="BC48" i="1"/>
  <c r="BD48" i="1" s="1"/>
  <c r="BA48" i="1"/>
  <c r="BC47" i="1"/>
  <c r="BD47" i="1" s="1"/>
  <c r="BA47" i="1"/>
  <c r="BD46" i="1"/>
  <c r="BE46" i="1" s="1"/>
  <c r="BC46" i="1"/>
  <c r="BA46" i="1"/>
  <c r="BD45" i="1"/>
  <c r="BA45" i="1"/>
  <c r="BE45" i="1" s="1"/>
  <c r="BD44" i="1"/>
  <c r="BA44" i="1"/>
  <c r="BE44" i="1" s="1"/>
  <c r="BC43" i="1"/>
  <c r="BD43" i="1" s="1"/>
  <c r="BA43" i="1"/>
  <c r="BC42" i="1"/>
  <c r="BD42" i="1" s="1"/>
  <c r="BE42" i="1" s="1"/>
  <c r="BA42" i="1"/>
  <c r="BD41" i="1"/>
  <c r="BA41" i="1"/>
  <c r="BE41" i="1" s="1"/>
  <c r="BC40" i="1"/>
  <c r="BD40" i="1" s="1"/>
  <c r="BE40" i="1" s="1"/>
  <c r="BA40" i="1"/>
  <c r="BC39" i="1"/>
  <c r="BD39" i="1" s="1"/>
  <c r="BA39" i="1"/>
  <c r="BD38" i="1"/>
  <c r="BA38" i="1"/>
  <c r="BE38" i="1" s="1"/>
  <c r="BD37" i="1"/>
  <c r="BA37" i="1"/>
  <c r="BE37" i="1" s="1"/>
  <c r="BC36" i="1"/>
  <c r="BD36" i="1" s="1"/>
  <c r="BA36" i="1"/>
  <c r="BC35" i="1"/>
  <c r="BD35" i="1" s="1"/>
  <c r="BA35" i="1"/>
  <c r="BC34" i="1"/>
  <c r="BD34" i="1" s="1"/>
  <c r="BE34" i="1" s="1"/>
  <c r="BA34" i="1"/>
  <c r="BC33" i="1"/>
  <c r="BD33" i="1" s="1"/>
  <c r="BE33" i="1" s="1"/>
  <c r="BA33" i="1"/>
  <c r="BC32" i="1"/>
  <c r="BD32" i="1" s="1"/>
  <c r="BA32" i="1"/>
  <c r="BC31" i="1"/>
  <c r="BD31" i="1" s="1"/>
  <c r="BE31" i="1" s="1"/>
  <c r="BA31" i="1"/>
  <c r="BD30" i="1"/>
  <c r="BA30" i="1"/>
  <c r="BE30" i="1" s="1"/>
  <c r="BE29" i="1"/>
  <c r="BD29" i="1"/>
  <c r="BA29" i="1"/>
  <c r="BR10" i="1"/>
  <c r="BP10" i="1"/>
  <c r="BN10" i="1"/>
  <c r="BL10" i="1"/>
  <c r="BJ10" i="1"/>
  <c r="BH10" i="1"/>
  <c r="BF10" i="1"/>
  <c r="BD10" i="1"/>
  <c r="BB10" i="1"/>
  <c r="AZ10" i="1"/>
  <c r="BR9" i="1"/>
  <c r="BP9" i="1"/>
  <c r="BN9" i="1"/>
  <c r="BL9" i="1"/>
  <c r="BJ9" i="1"/>
  <c r="BH9" i="1"/>
  <c r="BF9" i="1"/>
  <c r="BD9" i="1"/>
  <c r="BB9" i="1"/>
  <c r="AZ9" i="1"/>
  <c r="AX104" i="3" a="1"/>
  <c r="AX107" i="3" a="1"/>
  <c r="AX111" i="3" a="1"/>
  <c r="AY108" i="3" a="1"/>
  <c r="AY103" i="3" a="1"/>
  <c r="AY111" i="3" a="1"/>
  <c r="AX103" i="3" a="1"/>
  <c r="AY107" i="3" a="1"/>
  <c r="AX110" i="3" a="1"/>
  <c r="AY105" i="3" a="1"/>
  <c r="AY109" i="3" a="1"/>
  <c r="AY104" i="3" a="1"/>
  <c r="AX109" i="3" a="1"/>
  <c r="AY106" i="3" a="1"/>
  <c r="AX105" i="3" a="1"/>
  <c r="AY112" i="3" a="1"/>
  <c r="AX112" i="3" a="1"/>
  <c r="AY110" i="3" a="1"/>
  <c r="AX108" i="3" a="1"/>
  <c r="AX106" i="3" a="1"/>
  <c r="BJ2" i="3" a="1"/>
  <c r="BF19" i="1"/>
  <c r="AZ18" i="1"/>
  <c r="B2" i="1" a="1"/>
  <c r="BE19" i="1"/>
  <c r="BE17" i="1"/>
  <c r="BF15" i="1"/>
  <c r="Y16" i="5" a="1"/>
  <c r="L5" i="5" a="1"/>
  <c r="M5" i="5" a="1"/>
  <c r="BA19" i="1"/>
  <c r="AZ17" i="1"/>
  <c r="BC17" i="1"/>
  <c r="BC16" i="1"/>
  <c r="C2" i="1" a="1"/>
  <c r="BB18" i="1"/>
  <c r="N5" i="5" a="1"/>
  <c r="BC19" i="1"/>
  <c r="BD17" i="1"/>
  <c r="BE15" i="1"/>
  <c r="BF18" i="1"/>
  <c r="N22" i="5" a="1"/>
  <c r="AZ15" i="1"/>
  <c r="M22" i="5" a="1"/>
  <c r="BB17" i="1"/>
  <c r="BF17" i="1"/>
  <c r="Q1" i="5" a="1"/>
  <c r="AZ16" i="1"/>
  <c r="BC15" i="1"/>
  <c r="M1" i="5" a="1"/>
  <c r="BE18" i="1"/>
  <c r="BA18" i="1"/>
  <c r="BE16" i="1"/>
  <c r="E3" i="1" a="1"/>
  <c r="BB16" i="1"/>
  <c r="BD16" i="1"/>
  <c r="U10" i="5" a="1"/>
  <c r="BA17" i="1"/>
  <c r="BA16" i="1"/>
  <c r="AZ19" i="1"/>
  <c r="G3" i="1" a="1"/>
  <c r="C3" i="1" a="1"/>
  <c r="BF16" i="1"/>
  <c r="Y18" i="5" a="1"/>
  <c r="Y17" i="5" a="1"/>
  <c r="BB15" i="1"/>
  <c r="BD19" i="1"/>
  <c r="BD18" i="1"/>
  <c r="BD15" i="1"/>
  <c r="BC18" i="1"/>
  <c r="BB19" i="1"/>
  <c r="BA15" i="1"/>
  <c r="B29" i="5" l="1"/>
  <c r="Y6" i="2"/>
  <c r="E70" i="4" a="1"/>
  <c r="E70" i="4" s="1"/>
  <c r="H69" i="4" a="1"/>
  <c r="H69" i="4" s="1"/>
  <c r="H70" i="4" a="1"/>
  <c r="H70" i="4" s="1"/>
  <c r="H68" i="4" a="1"/>
  <c r="H68" i="4" s="1"/>
  <c r="Q50" i="4" a="1"/>
  <c r="Q50" i="4" s="1"/>
  <c r="E69" i="4" a="1"/>
  <c r="E69" i="4" s="1"/>
  <c r="E68" i="4" a="1"/>
  <c r="E68" i="4" s="1"/>
  <c r="Q51" i="4" a="1"/>
  <c r="Q51" i="4" s="1"/>
  <c r="E67" i="4" a="1"/>
  <c r="E67" i="4" s="1"/>
  <c r="H67" i="4" a="1"/>
  <c r="H67" i="4" s="1"/>
  <c r="Q52" i="4" a="1"/>
  <c r="Q52" i="4" s="1"/>
  <c r="BE55" i="1"/>
  <c r="AP93" i="3"/>
  <c r="BY55" i="3"/>
  <c r="R47" i="2"/>
  <c r="T47" i="2" s="1"/>
  <c r="O64" i="3"/>
  <c r="Q64" i="3"/>
  <c r="G84" i="3" s="1"/>
  <c r="DT62" i="3"/>
  <c r="DU62" i="3" s="1"/>
  <c r="G62" i="3" s="1"/>
  <c r="Q60" i="3"/>
  <c r="DT57" i="3"/>
  <c r="DU57" i="3" s="1"/>
  <c r="G57" i="3" s="1"/>
  <c r="O61" i="3"/>
  <c r="AW81" i="3" s="1"/>
  <c r="DT54" i="3"/>
  <c r="DU54" i="3" s="1"/>
  <c r="G54" i="3" s="1"/>
  <c r="DO58" i="3"/>
  <c r="DO65" i="3"/>
  <c r="Z29" i="3"/>
  <c r="DO62" i="3"/>
  <c r="S60" i="3"/>
  <c r="H82" i="3"/>
  <c r="AX63" i="3"/>
  <c r="AZ84" i="3"/>
  <c r="Z23" i="3"/>
  <c r="BJ29" i="3"/>
  <c r="J85" i="3"/>
  <c r="BO24" i="3"/>
  <c r="AR57" i="3"/>
  <c r="H75" i="3"/>
  <c r="CC27" i="3"/>
  <c r="CD27" i="3" s="1"/>
  <c r="BO18" i="3"/>
  <c r="BO28" i="3"/>
  <c r="AX61" i="3"/>
  <c r="CD29" i="3"/>
  <c r="Z17" i="3"/>
  <c r="AN58" i="3"/>
  <c r="I80" i="3"/>
  <c r="BO23" i="3"/>
  <c r="H80" i="3"/>
  <c r="Z26" i="3"/>
  <c r="DO59" i="3"/>
  <c r="AZ76" i="3"/>
  <c r="AZ83" i="3"/>
  <c r="CG84" i="3"/>
  <c r="V84" i="3" s="1"/>
  <c r="X84" i="3" s="1"/>
  <c r="J76" i="3"/>
  <c r="CC17" i="3"/>
  <c r="CD17" i="3" s="1"/>
  <c r="CC22" i="3"/>
  <c r="CD22" i="3" s="1"/>
  <c r="S64" i="3"/>
  <c r="J82" i="3"/>
  <c r="I83" i="3"/>
  <c r="J79" i="3"/>
  <c r="DT52" i="3"/>
  <c r="DU52" i="3" s="1"/>
  <c r="G52" i="3" s="1"/>
  <c r="BJ23" i="3"/>
  <c r="BP18" i="3"/>
  <c r="AR54" i="3"/>
  <c r="AX56" i="3"/>
  <c r="AR59" i="3"/>
  <c r="AR62" i="3"/>
  <c r="AR65" i="3"/>
  <c r="J7" i="2"/>
  <c r="K7" i="2" s="1"/>
  <c r="BJ22" i="3"/>
  <c r="AX62" i="3"/>
  <c r="AR52" i="3"/>
  <c r="DT53" i="3"/>
  <c r="DU53" i="3" s="1"/>
  <c r="G53" i="3" s="1"/>
  <c r="DT64" i="3"/>
  <c r="DU64" i="3" s="1"/>
  <c r="AS84" i="3" s="1"/>
  <c r="CC72" i="3"/>
  <c r="CC81" i="3"/>
  <c r="CG81" i="3" s="1"/>
  <c r="V81" i="3" s="1"/>
  <c r="X81" i="3" s="1"/>
  <c r="H28" i="4"/>
  <c r="CG78" i="3"/>
  <c r="V78" i="3" s="1"/>
  <c r="X78" i="3" s="1"/>
  <c r="CG79" i="3"/>
  <c r="V79" i="3" s="1"/>
  <c r="X79" i="3" s="1"/>
  <c r="CC82" i="3"/>
  <c r="CG76" i="3"/>
  <c r="V76" i="3" s="1"/>
  <c r="CG77" i="3"/>
  <c r="V77" i="3" s="1"/>
  <c r="X77" i="3" s="1"/>
  <c r="CC19" i="3"/>
  <c r="CD19" i="3" s="1"/>
  <c r="BJ25" i="3"/>
  <c r="CG72" i="3"/>
  <c r="V72" i="3" s="1"/>
  <c r="X72" i="3" s="1"/>
  <c r="CG80" i="3"/>
  <c r="V80" i="3" s="1"/>
  <c r="X80" i="3" s="1"/>
  <c r="CG82" i="3"/>
  <c r="V82" i="3" s="1"/>
  <c r="X82" i="3" s="1"/>
  <c r="CC84" i="3"/>
  <c r="N26" i="4"/>
  <c r="J13" i="2"/>
  <c r="K13" i="2" s="1"/>
  <c r="I75" i="3"/>
  <c r="S22" i="3"/>
  <c r="BD22" i="3"/>
  <c r="BY57" i="3"/>
  <c r="BY58" i="3"/>
  <c r="BD23" i="3"/>
  <c r="S29" i="3"/>
  <c r="W15" i="4" s="1"/>
  <c r="BD29" i="3"/>
  <c r="BY64" i="3"/>
  <c r="BY59" i="3"/>
  <c r="BD24" i="3"/>
  <c r="S24" i="3"/>
  <c r="BY62" i="3"/>
  <c r="S27" i="3"/>
  <c r="EA27" i="3" s="1"/>
  <c r="K23" i="4"/>
  <c r="AP94" i="3"/>
  <c r="R49" i="2"/>
  <c r="T49" i="2" s="1"/>
  <c r="R51" i="2"/>
  <c r="T51" i="2" s="1"/>
  <c r="K26" i="4"/>
  <c r="AP90" i="3"/>
  <c r="R43" i="2"/>
  <c r="T43" i="2" s="1"/>
  <c r="BJ2" i="3"/>
  <c r="BO4" i="3" s="1" a="1"/>
  <c r="BO4" i="3" s="1"/>
  <c r="AX106" i="3"/>
  <c r="M46" i="3" s="1"/>
  <c r="AX108" i="3"/>
  <c r="AY110" i="3"/>
  <c r="AX112" i="3"/>
  <c r="Q46" i="3" s="1"/>
  <c r="AY112" i="3"/>
  <c r="AX105" i="3"/>
  <c r="M45" i="3" s="1"/>
  <c r="AY106" i="3"/>
  <c r="AX109" i="3"/>
  <c r="Q44" i="3" s="1"/>
  <c r="AY104" i="3"/>
  <c r="AY109" i="3"/>
  <c r="AY105" i="3"/>
  <c r="AX110" i="3"/>
  <c r="AY107" i="3"/>
  <c r="AX103" i="3"/>
  <c r="M43" i="3" s="1"/>
  <c r="AY111" i="3"/>
  <c r="AY103" i="3"/>
  <c r="AY108" i="3"/>
  <c r="AX111" i="3"/>
  <c r="Q45" i="3" s="1"/>
  <c r="AX107" i="3"/>
  <c r="M47" i="3" s="1"/>
  <c r="AX104" i="3"/>
  <c r="M44" i="3" s="1"/>
  <c r="F84" i="3"/>
  <c r="AW84" i="3"/>
  <c r="AQ84" i="3"/>
  <c r="R78" i="3"/>
  <c r="AU78" i="3"/>
  <c r="AJ78" i="3"/>
  <c r="N72" i="3"/>
  <c r="AU72" i="3"/>
  <c r="R82" i="3"/>
  <c r="AO82" i="3"/>
  <c r="AU82" i="3"/>
  <c r="AJ82" i="3"/>
  <c r="J8" i="2"/>
  <c r="K8" i="2" s="1"/>
  <c r="AJ85" i="3"/>
  <c r="AO84" i="3"/>
  <c r="P84" i="3"/>
  <c r="N84" i="3"/>
  <c r="Q14" i="4" s="1"/>
  <c r="H21" i="4"/>
  <c r="H45" i="4"/>
  <c r="AU75" i="3"/>
  <c r="AJ75" i="3"/>
  <c r="CO65" i="3"/>
  <c r="AQ94" i="3" s="1"/>
  <c r="DT56" i="3"/>
  <c r="DU56" i="3" s="1"/>
  <c r="G56" i="3" s="1"/>
  <c r="AR84" i="3"/>
  <c r="E14" i="4" s="1"/>
  <c r="BD25" i="3"/>
  <c r="DT63" i="3"/>
  <c r="DU63" i="3" s="1"/>
  <c r="G63" i="3" s="1"/>
  <c r="J83" i="3"/>
  <c r="DO53" i="3"/>
  <c r="AR61" i="3"/>
  <c r="M62" i="3"/>
  <c r="BO27" i="3"/>
  <c r="BP29" i="3"/>
  <c r="O62" i="3"/>
  <c r="AW82" i="3" s="1"/>
  <c r="BP27" i="3"/>
  <c r="I77" i="3"/>
  <c r="AZ77" i="3"/>
  <c r="AX54" i="3"/>
  <c r="J77" i="3"/>
  <c r="AP92" i="3"/>
  <c r="S21" i="3"/>
  <c r="W7" i="4" s="1"/>
  <c r="N21" i="4"/>
  <c r="CA30" i="3"/>
  <c r="CC30" i="3" s="1"/>
  <c r="CD30" i="3" s="1"/>
  <c r="AR56" i="3"/>
  <c r="AV58" i="3"/>
  <c r="AR63" i="3"/>
  <c r="M64" i="3"/>
  <c r="H79" i="3"/>
  <c r="N20" i="4"/>
  <c r="S19" i="3"/>
  <c r="S20" i="3"/>
  <c r="EA20" i="3" s="1"/>
  <c r="AH76" i="3"/>
  <c r="DT55" i="3"/>
  <c r="DU55" i="3" s="1"/>
  <c r="G55" i="3" s="1"/>
  <c r="X62" i="3"/>
  <c r="CC74" i="3"/>
  <c r="CG74" i="3" s="1"/>
  <c r="V74" i="3" s="1"/>
  <c r="X74" i="3" s="1"/>
  <c r="X55" i="3"/>
  <c r="M52" i="3"/>
  <c r="H85" i="3"/>
  <c r="R44" i="2"/>
  <c r="T44" i="2" s="1"/>
  <c r="BO19" i="3"/>
  <c r="S23" i="3"/>
  <c r="EA23" i="3" s="1"/>
  <c r="AV56" i="3"/>
  <c r="K24" i="4"/>
  <c r="N23" i="4"/>
  <c r="BJ17" i="3"/>
  <c r="BD19" i="3"/>
  <c r="S56" i="3"/>
  <c r="CC23" i="3"/>
  <c r="BO20" i="3"/>
  <c r="AX58" i="3"/>
  <c r="X61" i="3"/>
  <c r="BY65" i="3"/>
  <c r="BJ19" i="3"/>
  <c r="CC25" i="3"/>
  <c r="CD25" i="3" s="1"/>
  <c r="X59" i="3"/>
  <c r="DT61" i="3"/>
  <c r="DU61" i="3" s="1"/>
  <c r="G61" i="3" s="1"/>
  <c r="CC80" i="3"/>
  <c r="S63" i="3"/>
  <c r="BD21" i="3"/>
  <c r="Q52" i="3"/>
  <c r="G72" i="3" s="1"/>
  <c r="AA55" i="3"/>
  <c r="AV55" i="3" s="1"/>
  <c r="BP17" i="3"/>
  <c r="Z22" i="3"/>
  <c r="S25" i="3"/>
  <c r="W10" i="4" s="1"/>
  <c r="AA54" i="3"/>
  <c r="DT59" i="3"/>
  <c r="DU59" i="3" s="1"/>
  <c r="G59" i="3" s="1"/>
  <c r="R52" i="2"/>
  <c r="T52" i="2" s="1"/>
  <c r="N24" i="4"/>
  <c r="I85" i="3"/>
  <c r="AZ85" i="3"/>
  <c r="AR58" i="3"/>
  <c r="AZ81" i="3"/>
  <c r="K25" i="4"/>
  <c r="BE32" i="1"/>
  <c r="BE43" i="1"/>
  <c r="BE35" i="1"/>
  <c r="BE36" i="1"/>
  <c r="BE47" i="1"/>
  <c r="BE48" i="1"/>
  <c r="BE39" i="1"/>
  <c r="AZ20" i="1"/>
  <c r="AZ25" i="1" s="1"/>
  <c r="BA20" i="1"/>
  <c r="BA25" i="1" s="1"/>
  <c r="BD20" i="1"/>
  <c r="BD25" i="1" s="1"/>
  <c r="BC21" i="1"/>
  <c r="BE20" i="1"/>
  <c r="BE25" i="1" s="1"/>
  <c r="BF22" i="1"/>
  <c r="BB21" i="1"/>
  <c r="AZ23" i="1"/>
  <c r="BC20" i="1"/>
  <c r="BC25" i="1" s="1"/>
  <c r="BE24" i="1"/>
  <c r="BB20" i="1"/>
  <c r="BB25" i="1" s="1"/>
  <c r="BF24" i="1"/>
  <c r="BA21" i="1"/>
  <c r="BE21" i="1"/>
  <c r="BD21" i="1"/>
  <c r="BE22" i="1"/>
  <c r="BD23" i="1"/>
  <c r="B2" i="1"/>
  <c r="BE23" i="1"/>
  <c r="BC23" i="1"/>
  <c r="BF23" i="1"/>
  <c r="AZ24" i="1"/>
  <c r="BB23" i="1"/>
  <c r="BA24" i="1"/>
  <c r="BA23" i="1"/>
  <c r="G3" i="1"/>
  <c r="BD24" i="1"/>
  <c r="BF20" i="1"/>
  <c r="BF25" i="1" s="1"/>
  <c r="BB24" i="1"/>
  <c r="AZ21" i="1"/>
  <c r="BC24" i="1"/>
  <c r="BF21" i="1"/>
  <c r="C3" i="1"/>
  <c r="C2" i="1"/>
  <c r="AZ22" i="1"/>
  <c r="BA22" i="1"/>
  <c r="BB22" i="1"/>
  <c r="E3" i="1"/>
  <c r="BC22" i="1"/>
  <c r="BD22" i="1"/>
  <c r="Y18" i="5"/>
  <c r="L5" i="5"/>
  <c r="M5" i="5"/>
  <c r="U10" i="5"/>
  <c r="Y16" i="5"/>
  <c r="M1" i="5"/>
  <c r="N5" i="5"/>
  <c r="Y17" i="5"/>
  <c r="Q1" i="5"/>
  <c r="M22" i="5"/>
  <c r="N22" i="5"/>
  <c r="N73" i="3"/>
  <c r="AJ73" i="3"/>
  <c r="AU73" i="3"/>
  <c r="R73" i="3"/>
  <c r="Y73" i="3" s="1"/>
  <c r="P73" i="3"/>
  <c r="L7" i="2"/>
  <c r="AD27" i="3"/>
  <c r="AH82" i="3"/>
  <c r="CA28" i="3"/>
  <c r="CC28" i="3" s="1"/>
  <c r="CD28" i="3" s="1"/>
  <c r="BJ28" i="3"/>
  <c r="AX65" i="3"/>
  <c r="X65" i="3"/>
  <c r="BO30" i="3"/>
  <c r="AA65" i="3"/>
  <c r="AH83" i="3"/>
  <c r="AD28" i="3"/>
  <c r="AH75" i="3"/>
  <c r="AD20" i="3"/>
  <c r="B2" i="5"/>
  <c r="DH53" i="3"/>
  <c r="Z18" i="3"/>
  <c r="AU80" i="3"/>
  <c r="R80" i="3"/>
  <c r="P80" i="3"/>
  <c r="AO80" i="3"/>
  <c r="N80" i="3"/>
  <c r="Q10" i="4" s="1"/>
  <c r="AJ80" i="3"/>
  <c r="DH56" i="3"/>
  <c r="Z21" i="3"/>
  <c r="AU76" i="3"/>
  <c r="R76" i="3"/>
  <c r="P76" i="3"/>
  <c r="AJ76" i="3"/>
  <c r="N76" i="3"/>
  <c r="Q6" i="4" s="1"/>
  <c r="A1" i="3"/>
  <c r="J28" i="2" s="1" a="1"/>
  <c r="J28" i="2" s="1"/>
  <c r="T40" i="3"/>
  <c r="T38" i="3"/>
  <c r="T41" i="3"/>
  <c r="T39" i="3"/>
  <c r="AH85" i="3"/>
  <c r="AD30" i="3"/>
  <c r="Q29" i="2"/>
  <c r="AD21" i="3"/>
  <c r="L25" i="2"/>
  <c r="AH81" i="3"/>
  <c r="AD26" i="3"/>
  <c r="BE50" i="1"/>
  <c r="CC85" i="3"/>
  <c r="CG85" i="3" s="1"/>
  <c r="V85" i="3" s="1"/>
  <c r="X85" i="3" s="1"/>
  <c r="DH62" i="3"/>
  <c r="Z27" i="3"/>
  <c r="AN62" i="3"/>
  <c r="AV62" i="3"/>
  <c r="AK62" i="3"/>
  <c r="T12" i="4" s="1"/>
  <c r="T26" i="4" s="1"/>
  <c r="BD18" i="3"/>
  <c r="W12" i="4"/>
  <c r="AV59" i="3"/>
  <c r="AN59" i="3"/>
  <c r="AK59" i="3"/>
  <c r="T9" i="4" s="1"/>
  <c r="T22" i="4" s="1"/>
  <c r="CD23" i="3"/>
  <c r="R46" i="2"/>
  <c r="T46" i="2" s="1"/>
  <c r="AH78" i="3"/>
  <c r="AD23" i="3"/>
  <c r="CA24" i="3"/>
  <c r="CC24" i="3" s="1"/>
  <c r="CD24" i="3" s="1"/>
  <c r="BJ24" i="3"/>
  <c r="X73" i="3"/>
  <c r="O58" i="3"/>
  <c r="M58" i="3"/>
  <c r="Q58" i="3"/>
  <c r="AO78" i="3" s="1"/>
  <c r="BP23" i="3"/>
  <c r="AU83" i="3"/>
  <c r="AJ83" i="3"/>
  <c r="N83" i="3"/>
  <c r="Q13" i="4" s="1"/>
  <c r="R83" i="3"/>
  <c r="P83" i="3"/>
  <c r="S57" i="3"/>
  <c r="S58" i="3"/>
  <c r="AD17" i="3"/>
  <c r="Q54" i="3"/>
  <c r="O54" i="3"/>
  <c r="M54" i="3"/>
  <c r="AG97" i="3"/>
  <c r="AB89" i="3"/>
  <c r="J14" i="2"/>
  <c r="K14" i="2" s="1"/>
  <c r="S18" i="3"/>
  <c r="BP19" i="3"/>
  <c r="AH73" i="3"/>
  <c r="CA18" i="3"/>
  <c r="CC18" i="3" s="1"/>
  <c r="CD18" i="3" s="1"/>
  <c r="Z28" i="3"/>
  <c r="DH63" i="3"/>
  <c r="J78" i="3"/>
  <c r="H83" i="3"/>
  <c r="H84" i="3"/>
  <c r="R50" i="2"/>
  <c r="T50" i="2" s="1"/>
  <c r="AH74" i="3"/>
  <c r="BJ27" i="3"/>
  <c r="Z25" i="3"/>
  <c r="DH60" i="3"/>
  <c r="X76" i="3"/>
  <c r="U76" i="3"/>
  <c r="Z6" i="4" s="1"/>
  <c r="BY63" i="3"/>
  <c r="BD28" i="3"/>
  <c r="S28" i="3"/>
  <c r="CA20" i="3"/>
  <c r="CC20" i="3" s="1"/>
  <c r="CD20" i="3" s="1"/>
  <c r="CD21" i="3"/>
  <c r="AD18" i="3"/>
  <c r="S62" i="3"/>
  <c r="S61" i="3"/>
  <c r="AG99" i="3"/>
  <c r="AB91" i="3"/>
  <c r="DO55" i="3"/>
  <c r="AH79" i="3"/>
  <c r="AD24" i="3"/>
  <c r="AR55" i="3"/>
  <c r="X64" i="3"/>
  <c r="AX64" i="3"/>
  <c r="AA64" i="3"/>
  <c r="AZ74" i="3"/>
  <c r="AZ75" i="3"/>
  <c r="H108" i="5"/>
  <c r="H105" i="5"/>
  <c r="H102" i="5"/>
  <c r="H99" i="5"/>
  <c r="H96" i="5"/>
  <c r="H93" i="5"/>
  <c r="H90" i="5"/>
  <c r="H87" i="5"/>
  <c r="H84" i="5"/>
  <c r="H81" i="5"/>
  <c r="H78" i="5"/>
  <c r="H75" i="5"/>
  <c r="H72" i="5"/>
  <c r="H69" i="5"/>
  <c r="H66" i="5"/>
  <c r="H63" i="5"/>
  <c r="H60" i="5"/>
  <c r="H57" i="5"/>
  <c r="H54" i="5"/>
  <c r="H51" i="5"/>
  <c r="H48" i="5"/>
  <c r="H45" i="5"/>
  <c r="H42" i="5"/>
  <c r="H39" i="5"/>
  <c r="H36" i="5"/>
  <c r="H33" i="5"/>
  <c r="H30" i="5"/>
  <c r="H107" i="5"/>
  <c r="H104" i="5"/>
  <c r="H101" i="5"/>
  <c r="H98" i="5"/>
  <c r="H95" i="5"/>
  <c r="H92" i="5"/>
  <c r="H89" i="5"/>
  <c r="H86" i="5"/>
  <c r="H83" i="5"/>
  <c r="H80" i="5"/>
  <c r="H77" i="5"/>
  <c r="H74" i="5"/>
  <c r="H71" i="5"/>
  <c r="H68" i="5"/>
  <c r="H65" i="5"/>
  <c r="H62" i="5"/>
  <c r="H59" i="5"/>
  <c r="H56" i="5"/>
  <c r="H53" i="5"/>
  <c r="H50" i="5"/>
  <c r="H47" i="5"/>
  <c r="H44" i="5"/>
  <c r="H41" i="5"/>
  <c r="H38" i="5"/>
  <c r="H35" i="5"/>
  <c r="H32" i="5"/>
  <c r="H100" i="5"/>
  <c r="H76" i="5"/>
  <c r="H61" i="5"/>
  <c r="H34" i="5"/>
  <c r="H40" i="5"/>
  <c r="H91" i="5"/>
  <c r="H67" i="5"/>
  <c r="H58" i="5"/>
  <c r="H88" i="5"/>
  <c r="H46" i="5"/>
  <c r="H106" i="5"/>
  <c r="H73" i="5"/>
  <c r="H103" i="5"/>
  <c r="H43" i="5"/>
  <c r="H31" i="5"/>
  <c r="H82" i="5"/>
  <c r="H52" i="5"/>
  <c r="H49" i="5"/>
  <c r="H97" i="5"/>
  <c r="H64" i="5"/>
  <c r="H94" i="5"/>
  <c r="H70" i="5"/>
  <c r="H85" i="5"/>
  <c r="H79" i="5"/>
  <c r="H55" i="5"/>
  <c r="BO29" i="3"/>
  <c r="AN61" i="3"/>
  <c r="AK61" i="3"/>
  <c r="T11" i="4" s="1"/>
  <c r="AV61" i="3"/>
  <c r="O74" i="3"/>
  <c r="AJ79" i="3"/>
  <c r="AU79" i="3"/>
  <c r="N79" i="3"/>
  <c r="Q9" i="4" s="1"/>
  <c r="H37" i="5"/>
  <c r="O57" i="3"/>
  <c r="M57" i="3"/>
  <c r="Q57" i="3"/>
  <c r="CC75" i="3"/>
  <c r="CG75" i="3" s="1"/>
  <c r="V75" i="3" s="1"/>
  <c r="X75" i="3" s="1"/>
  <c r="O77" i="3"/>
  <c r="R79" i="3"/>
  <c r="CA26" i="3"/>
  <c r="CC26" i="3" s="1"/>
  <c r="CD26" i="3" s="1"/>
  <c r="N25" i="4"/>
  <c r="AS80" i="3"/>
  <c r="AR80" i="3"/>
  <c r="E10" i="4" s="1"/>
  <c r="G80" i="3"/>
  <c r="O60" i="3"/>
  <c r="M60" i="3"/>
  <c r="O79" i="3"/>
  <c r="K21" i="4"/>
  <c r="K37" i="4"/>
  <c r="BD27" i="3"/>
  <c r="AH84" i="3"/>
  <c r="AD29" i="3"/>
  <c r="AR53" i="3"/>
  <c r="H22" i="4"/>
  <c r="Q65" i="3"/>
  <c r="AO85" i="3" s="1"/>
  <c r="O65" i="3"/>
  <c r="M65" i="3"/>
  <c r="U78" i="3"/>
  <c r="Z8" i="4" s="1"/>
  <c r="Z21" i="4" s="1"/>
  <c r="AG98" i="3"/>
  <c r="AB90" i="3"/>
  <c r="AH80" i="3"/>
  <c r="I79" i="3"/>
  <c r="I78" i="3"/>
  <c r="Z25" i="4"/>
  <c r="AG96" i="3"/>
  <c r="AB88" i="3"/>
  <c r="F81" i="3"/>
  <c r="AQ81" i="3"/>
  <c r="J73" i="3"/>
  <c r="J74" i="3"/>
  <c r="AJ77" i="3"/>
  <c r="P77" i="3"/>
  <c r="N77" i="3"/>
  <c r="Q7" i="4" s="1"/>
  <c r="AU77" i="3"/>
  <c r="H23" i="4"/>
  <c r="N22" i="4"/>
  <c r="S59" i="3"/>
  <c r="DO61" i="3"/>
  <c r="AN63" i="3"/>
  <c r="AV63" i="3"/>
  <c r="U75" i="3"/>
  <c r="Z5" i="4" s="1"/>
  <c r="O82" i="3"/>
  <c r="AX52" i="3"/>
  <c r="AA52" i="3"/>
  <c r="S53" i="3"/>
  <c r="H77" i="3"/>
  <c r="H78" i="3"/>
  <c r="AJ84" i="3"/>
  <c r="AU84" i="3"/>
  <c r="AH77" i="3"/>
  <c r="S54" i="3"/>
  <c r="AA60" i="3"/>
  <c r="X60" i="3"/>
  <c r="AX60" i="3"/>
  <c r="DO63" i="3"/>
  <c r="AJ81" i="3"/>
  <c r="AU81" i="3"/>
  <c r="P81" i="3"/>
  <c r="R81" i="3"/>
  <c r="R84" i="3"/>
  <c r="N35" i="4"/>
  <c r="N45" i="4"/>
  <c r="N19" i="4"/>
  <c r="N37" i="4"/>
  <c r="N28" i="4"/>
  <c r="N36" i="4"/>
  <c r="AA53" i="3"/>
  <c r="X53" i="3"/>
  <c r="AJ74" i="3"/>
  <c r="N74" i="3"/>
  <c r="AU74" i="3"/>
  <c r="R74" i="3"/>
  <c r="P74" i="3"/>
  <c r="O81" i="3"/>
  <c r="O84" i="3"/>
  <c r="M61" i="3"/>
  <c r="Q61" i="3"/>
  <c r="CO63" i="3"/>
  <c r="AQ92" i="3" s="1"/>
  <c r="CO59" i="3"/>
  <c r="CO56" i="3"/>
  <c r="CO54" i="3"/>
  <c r="CO64" i="3"/>
  <c r="AQ93" i="3" s="1"/>
  <c r="CO55" i="3"/>
  <c r="CO52" i="3"/>
  <c r="CO58" i="3"/>
  <c r="CO62" i="3"/>
  <c r="AQ91" i="3" s="1"/>
  <c r="CO61" i="3"/>
  <c r="AQ90" i="3" s="1"/>
  <c r="AN57" i="3"/>
  <c r="AK57" i="3"/>
  <c r="T7" i="4" s="1"/>
  <c r="T20" i="4" s="1"/>
  <c r="CO57" i="3"/>
  <c r="AZ78" i="3"/>
  <c r="Z26" i="4"/>
  <c r="O63" i="3"/>
  <c r="M63" i="3"/>
  <c r="CC83" i="3"/>
  <c r="CG83" i="3" s="1"/>
  <c r="V83" i="3" s="1"/>
  <c r="X83" i="3" s="1"/>
  <c r="AV57" i="3"/>
  <c r="P82" i="3"/>
  <c r="N82" i="3"/>
  <c r="Q12" i="4" s="1"/>
  <c r="Q25" i="4" s="1"/>
  <c r="U80" i="3"/>
  <c r="Z10" i="4" s="1"/>
  <c r="Z23" i="4" s="1"/>
  <c r="H24" i="4"/>
  <c r="H25" i="4"/>
  <c r="S38" i="3"/>
  <c r="CO53" i="3"/>
  <c r="AJ90" i="3"/>
  <c r="AQ72" i="3"/>
  <c r="AW72" i="3"/>
  <c r="Q53" i="3"/>
  <c r="O53" i="3"/>
  <c r="S40" i="3"/>
  <c r="Q56" i="3"/>
  <c r="O56" i="3"/>
  <c r="M56" i="3"/>
  <c r="AZ79" i="3"/>
  <c r="N27" i="4"/>
  <c r="DO52" i="3"/>
  <c r="CO60" i="3"/>
  <c r="G82" i="3"/>
  <c r="AS82" i="3"/>
  <c r="AR82" i="3"/>
  <c r="E12" i="4" s="1"/>
  <c r="Q63" i="3"/>
  <c r="AO83" i="3" s="1"/>
  <c r="H35" i="4"/>
  <c r="H37" i="4"/>
  <c r="H20" i="4"/>
  <c r="K35" i="4"/>
  <c r="K45" i="4"/>
  <c r="K19" i="4"/>
  <c r="K20" i="4"/>
  <c r="P85" i="3"/>
  <c r="N85" i="3"/>
  <c r="Q15" i="4" s="1"/>
  <c r="AJ91" i="3"/>
  <c r="AJ89" i="3"/>
  <c r="AJ88" i="3"/>
  <c r="H26" i="4"/>
  <c r="H27" i="4"/>
  <c r="Z36" i="4"/>
  <c r="Z28" i="4"/>
  <c r="Q59" i="3"/>
  <c r="AO79" i="3" s="1"/>
  <c r="O59" i="3"/>
  <c r="M59" i="3"/>
  <c r="R85" i="3"/>
  <c r="Q55" i="3"/>
  <c r="O55" i="3"/>
  <c r="S55" i="3"/>
  <c r="K22" i="4"/>
  <c r="M55" i="3"/>
  <c r="H19" i="4"/>
  <c r="I84" i="3"/>
  <c r="H74" i="3"/>
  <c r="H73" i="3"/>
  <c r="J84" i="3"/>
  <c r="S65" i="3"/>
  <c r="R72" i="3"/>
  <c r="P72" i="3"/>
  <c r="I74" i="3"/>
  <c r="I73" i="3"/>
  <c r="R75" i="3"/>
  <c r="P75" i="3"/>
  <c r="N75" i="3"/>
  <c r="Q5" i="4" s="1"/>
  <c r="H76" i="3"/>
  <c r="H81" i="3"/>
  <c r="I76" i="3"/>
  <c r="I81" i="3"/>
  <c r="DO64" i="3"/>
  <c r="P78" i="3"/>
  <c r="N78" i="3"/>
  <c r="Q8" i="4" s="1"/>
  <c r="J81" i="3"/>
  <c r="K27" i="4"/>
  <c r="J59" i="5" l="1" a="1"/>
  <c r="J59" i="5" s="1"/>
  <c r="I31" i="5" a="1"/>
  <c r="I31" i="5" s="1"/>
  <c r="I69" i="5" a="1"/>
  <c r="I69" i="5" s="1"/>
  <c r="I63" i="5" a="1"/>
  <c r="I63" i="5" s="1"/>
  <c r="I106" i="5" a="1"/>
  <c r="I106" i="5" s="1"/>
  <c r="J107" i="5" a="1"/>
  <c r="J107" i="5" s="1"/>
  <c r="J98" i="5" a="1"/>
  <c r="J98" i="5" s="1"/>
  <c r="I93" i="5" a="1"/>
  <c r="I93" i="5" s="1"/>
  <c r="I61" i="5" a="1"/>
  <c r="I61" i="5" s="1"/>
  <c r="J43" i="5" a="1"/>
  <c r="J43" i="5" s="1"/>
  <c r="J101" i="5" a="1"/>
  <c r="J101" i="5" s="1"/>
  <c r="I73" i="5" a="1"/>
  <c r="I73" i="5" s="1"/>
  <c r="J83" i="5" a="1"/>
  <c r="J83" i="5" s="1"/>
  <c r="J64" i="5" a="1"/>
  <c r="J64" i="5" s="1"/>
  <c r="J60" i="5" a="1"/>
  <c r="J60" i="5" s="1"/>
  <c r="J79" i="5" a="1"/>
  <c r="J79" i="5" s="1"/>
  <c r="I101" i="5" a="1"/>
  <c r="I101" i="5" s="1"/>
  <c r="J97" i="5" a="1"/>
  <c r="J97" i="5" s="1"/>
  <c r="J34" i="5" a="1"/>
  <c r="J34" i="5" s="1"/>
  <c r="J71" i="5" a="1"/>
  <c r="J71" i="5" s="1"/>
  <c r="J96" i="5" a="1"/>
  <c r="J96" i="5" s="1"/>
  <c r="I81" i="5" a="1"/>
  <c r="I81" i="5" s="1"/>
  <c r="J45" i="5" a="1"/>
  <c r="J45" i="5" s="1"/>
  <c r="I33" i="5" a="1"/>
  <c r="I33" i="5" s="1"/>
  <c r="I30" i="5" a="1"/>
  <c r="I30" i="5" s="1"/>
  <c r="J44" i="5" a="1"/>
  <c r="J44" i="5" s="1"/>
  <c r="J56" i="5" a="1"/>
  <c r="J56" i="5" s="1"/>
  <c r="I100" i="5" a="1"/>
  <c r="I100" i="5" s="1"/>
  <c r="I91" i="5" a="1"/>
  <c r="I91" i="5" s="1"/>
  <c r="I38" i="5" a="1"/>
  <c r="I38" i="5" s="1"/>
  <c r="J40" i="5" a="1"/>
  <c r="J40" i="5" s="1"/>
  <c r="J74" i="5" a="1"/>
  <c r="J74" i="5" s="1"/>
  <c r="I105" i="5" a="1"/>
  <c r="I105" i="5" s="1"/>
  <c r="J33" i="5" a="1"/>
  <c r="J33" i="5" s="1"/>
  <c r="I96" i="5" a="1"/>
  <c r="I96" i="5" s="1"/>
  <c r="I88" i="5" a="1"/>
  <c r="I88" i="5" s="1"/>
  <c r="I50" i="5" a="1"/>
  <c r="I50" i="5" s="1"/>
  <c r="J65" i="5" a="1"/>
  <c r="J65" i="5" s="1"/>
  <c r="I85" i="5" a="1"/>
  <c r="I85" i="5" s="1"/>
  <c r="J94" i="5" a="1"/>
  <c r="J94" i="5" s="1"/>
  <c r="I57" i="5" a="1"/>
  <c r="I57" i="5" s="1"/>
  <c r="I65" i="5" a="1"/>
  <c r="I65" i="5" s="1"/>
  <c r="J39" i="5" a="1"/>
  <c r="J39" i="5" s="1"/>
  <c r="J47" i="5" a="1"/>
  <c r="J47" i="5" s="1"/>
  <c r="J51" i="5" a="1"/>
  <c r="J51" i="5" s="1"/>
  <c r="I48" i="5" a="1"/>
  <c r="I48" i="5" s="1"/>
  <c r="J84" i="5" a="1"/>
  <c r="J84" i="5" s="1"/>
  <c r="I99" i="5" a="1"/>
  <c r="I99" i="5" s="1"/>
  <c r="I107" i="5" a="1"/>
  <c r="I107" i="5" s="1"/>
  <c r="J104" i="5" a="1"/>
  <c r="J104" i="5" s="1"/>
  <c r="J72" i="5" a="1"/>
  <c r="J72" i="5" s="1"/>
  <c r="I86" i="5" a="1"/>
  <c r="I86" i="5" s="1"/>
  <c r="I43" i="5" a="1"/>
  <c r="I43" i="5" s="1"/>
  <c r="J105" i="5" a="1"/>
  <c r="J105" i="5" s="1"/>
  <c r="I78" i="5" a="1"/>
  <c r="I78" i="5" s="1"/>
  <c r="I90" i="5" a="1"/>
  <c r="I90" i="5" s="1"/>
  <c r="I98" i="5" a="1"/>
  <c r="I98" i="5" s="1"/>
  <c r="I77" i="5" a="1"/>
  <c r="I77" i="5" s="1"/>
  <c r="J37" i="5" a="1"/>
  <c r="J37" i="5" s="1"/>
  <c r="J103" i="5" a="1"/>
  <c r="J103" i="5" s="1"/>
  <c r="I75" i="5" a="1"/>
  <c r="I75" i="5" s="1"/>
  <c r="J31" i="5" a="1"/>
  <c r="J31" i="5" s="1"/>
  <c r="I44" i="5" a="1"/>
  <c r="I44" i="5" s="1"/>
  <c r="I97" i="5" a="1"/>
  <c r="I97" i="5" s="1"/>
  <c r="J102" i="5" a="1"/>
  <c r="J102" i="5" s="1"/>
  <c r="I89" i="5" a="1"/>
  <c r="I89" i="5" s="1"/>
  <c r="J49" i="5" a="1"/>
  <c r="J49" i="5" s="1"/>
  <c r="J42" i="5" a="1"/>
  <c r="J42" i="5" s="1"/>
  <c r="J35" i="5" a="1"/>
  <c r="J35" i="5" s="1"/>
  <c r="J90" i="5" a="1"/>
  <c r="J90" i="5" s="1"/>
  <c r="I56" i="5" a="1"/>
  <c r="I56" i="5" s="1"/>
  <c r="I71" i="5" a="1"/>
  <c r="I71" i="5" s="1"/>
  <c r="I87" i="5" a="1"/>
  <c r="I87" i="5" s="1"/>
  <c r="J82" i="5" a="1"/>
  <c r="J82" i="5" s="1"/>
  <c r="J54" i="5" a="1"/>
  <c r="J54" i="5" s="1"/>
  <c r="J81" i="5" a="1"/>
  <c r="J81" i="5" s="1"/>
  <c r="I34" i="5" a="1"/>
  <c r="I34" i="5" s="1"/>
  <c r="I47" i="5" a="1"/>
  <c r="I47" i="5" s="1"/>
  <c r="I39" i="5" a="1"/>
  <c r="I39" i="5" s="1"/>
  <c r="I108" i="5" a="1"/>
  <c r="I108" i="5" s="1"/>
  <c r="J73" i="5" a="1"/>
  <c r="J73" i="5" s="1"/>
  <c r="J48" i="5" a="1"/>
  <c r="J48" i="5" s="1"/>
  <c r="I82" i="5" a="1"/>
  <c r="I82" i="5" s="1"/>
  <c r="I79" i="5" a="1"/>
  <c r="I79" i="5" s="1"/>
  <c r="I42" i="5" a="1"/>
  <c r="I42" i="5" s="1"/>
  <c r="I68" i="5" a="1"/>
  <c r="I68" i="5" s="1"/>
  <c r="J61" i="5" a="1"/>
  <c r="J61" i="5" s="1"/>
  <c r="I37" i="5" a="1"/>
  <c r="I37" i="5" s="1"/>
  <c r="J52" i="5" a="1"/>
  <c r="J52" i="5" s="1"/>
  <c r="I104" i="5" a="1"/>
  <c r="I104" i="5" s="1"/>
  <c r="J62" i="5" a="1"/>
  <c r="J62" i="5" s="1"/>
  <c r="J88" i="5" a="1"/>
  <c r="J88" i="5" s="1"/>
  <c r="I72" i="5" a="1"/>
  <c r="I72" i="5" s="1"/>
  <c r="I66" i="5" a="1"/>
  <c r="I66" i="5" s="1"/>
  <c r="J36" i="5" a="1"/>
  <c r="J36" i="5" s="1"/>
  <c r="J80" i="5" a="1"/>
  <c r="J80" i="5" s="1"/>
  <c r="J32" i="5" a="1"/>
  <c r="J32" i="5" s="1"/>
  <c r="J69" i="5" a="1"/>
  <c r="J69" i="5" s="1"/>
  <c r="I52" i="5" a="1"/>
  <c r="I52" i="5" s="1"/>
  <c r="J78" i="5" a="1"/>
  <c r="J78" i="5" s="1"/>
  <c r="J86" i="5" a="1"/>
  <c r="J86" i="5" s="1"/>
  <c r="I49" i="5" a="1"/>
  <c r="I49" i="5" s="1"/>
  <c r="I60" i="5" a="1"/>
  <c r="I60" i="5" s="1"/>
  <c r="I32" i="5" a="1"/>
  <c r="I32" i="5" s="1"/>
  <c r="I51" i="5" a="1"/>
  <c r="I51" i="5" s="1"/>
  <c r="J89" i="5" a="1"/>
  <c r="J89" i="5" s="1"/>
  <c r="J75" i="5" a="1"/>
  <c r="J75" i="5" s="1"/>
  <c r="I55" i="5" a="1"/>
  <c r="I55" i="5" s="1"/>
  <c r="J92" i="5" a="1"/>
  <c r="J92" i="5" s="1"/>
  <c r="I64" i="5" a="1"/>
  <c r="I64" i="5" s="1"/>
  <c r="J108" i="5" a="1"/>
  <c r="J108" i="5" s="1"/>
  <c r="J91" i="5" a="1"/>
  <c r="J91" i="5" s="1"/>
  <c r="I59" i="5" a="1"/>
  <c r="I59" i="5" s="1"/>
  <c r="I70" i="5" a="1"/>
  <c r="I70" i="5" s="1"/>
  <c r="I40" i="5" a="1"/>
  <c r="I40" i="5" s="1"/>
  <c r="J46" i="5" a="1"/>
  <c r="J46" i="5" s="1"/>
  <c r="J55" i="5" a="1"/>
  <c r="J55" i="5" s="1"/>
  <c r="J68" i="5" a="1"/>
  <c r="J68" i="5" s="1"/>
  <c r="J100" i="5" a="1"/>
  <c r="J100" i="5" s="1"/>
  <c r="I41" i="5" a="1"/>
  <c r="I41" i="5" s="1"/>
  <c r="J30" i="5" a="1"/>
  <c r="J30" i="5" s="1"/>
  <c r="I54" i="5" a="1"/>
  <c r="I54" i="5" s="1"/>
  <c r="I67" i="5" a="1"/>
  <c r="I67" i="5" s="1"/>
  <c r="J95" i="5" a="1"/>
  <c r="J95" i="5" s="1"/>
  <c r="I103" i="5" a="1"/>
  <c r="I103" i="5" s="1"/>
  <c r="J50" i="5" a="1"/>
  <c r="J50" i="5" s="1"/>
  <c r="J66" i="5" a="1"/>
  <c r="J66" i="5" s="1"/>
  <c r="J77" i="5" a="1"/>
  <c r="J77" i="5" s="1"/>
  <c r="J41" i="5" a="1"/>
  <c r="J41" i="5" s="1"/>
  <c r="I76" i="5" a="1"/>
  <c r="I76" i="5" s="1"/>
  <c r="I95" i="5" a="1"/>
  <c r="I95" i="5" s="1"/>
  <c r="J70" i="5" a="1"/>
  <c r="J70" i="5" s="1"/>
  <c r="J67" i="5" a="1"/>
  <c r="J67" i="5" s="1"/>
  <c r="J85" i="5" a="1"/>
  <c r="J85" i="5" s="1"/>
  <c r="I83" i="5" a="1"/>
  <c r="I83" i="5" s="1"/>
  <c r="I74" i="5" a="1"/>
  <c r="I74" i="5" s="1"/>
  <c r="I94" i="5" a="1"/>
  <c r="I94" i="5" s="1"/>
  <c r="J87" i="5" a="1"/>
  <c r="J87" i="5" s="1"/>
  <c r="J53" i="5" a="1"/>
  <c r="J53" i="5" s="1"/>
  <c r="I53" i="5" a="1"/>
  <c r="I53" i="5" s="1"/>
  <c r="I35" i="5" a="1"/>
  <c r="I35" i="5" s="1"/>
  <c r="I58" i="5" a="1"/>
  <c r="I58" i="5" s="1"/>
  <c r="I45" i="5" a="1"/>
  <c r="I45" i="5" s="1"/>
  <c r="J58" i="5" a="1"/>
  <c r="J58" i="5" s="1"/>
  <c r="I36" i="5" a="1"/>
  <c r="I36" i="5" s="1"/>
  <c r="I46" i="5" a="1"/>
  <c r="I46" i="5" s="1"/>
  <c r="I84" i="5" a="1"/>
  <c r="I84" i="5" s="1"/>
  <c r="J106" i="5" a="1"/>
  <c r="J106" i="5" s="1"/>
  <c r="J63" i="5" a="1"/>
  <c r="J63" i="5" s="1"/>
  <c r="I102" i="5" a="1"/>
  <c r="I102" i="5" s="1"/>
  <c r="J57" i="5" a="1"/>
  <c r="J57" i="5" s="1"/>
  <c r="J99" i="5" a="1"/>
  <c r="J99" i="5" s="1"/>
  <c r="I80" i="5" a="1"/>
  <c r="I80" i="5" s="1"/>
  <c r="J38" i="5" a="1"/>
  <c r="J38" i="5" s="1"/>
  <c r="I62" i="5" a="1"/>
  <c r="I62" i="5" s="1"/>
  <c r="I92" i="5" a="1"/>
  <c r="I92" i="5" s="1"/>
  <c r="J76" i="5" a="1"/>
  <c r="J76" i="5" s="1"/>
  <c r="J93" i="5" a="1"/>
  <c r="J93" i="5" s="1"/>
  <c r="T26" i="2" a="1"/>
  <c r="T26" i="2" s="1"/>
  <c r="Q30" i="2" a="1"/>
  <c r="Q30" i="2" s="1"/>
  <c r="Q31" i="2" a="1"/>
  <c r="Q31" i="2" s="1"/>
  <c r="I29" i="5" a="1"/>
  <c r="I29" i="5" s="1"/>
  <c r="J29" i="5" a="1"/>
  <c r="J29" i="5" s="1"/>
  <c r="T53" i="2"/>
  <c r="J16" i="2" s="1"/>
  <c r="K16" i="2" s="1"/>
  <c r="S41" i="3"/>
  <c r="EA30" i="3"/>
  <c r="W14" i="4"/>
  <c r="EA24" i="3"/>
  <c r="EB24" i="3" s="1"/>
  <c r="G64" i="3"/>
  <c r="Y80" i="3"/>
  <c r="Y84" i="3"/>
  <c r="Q23" i="4"/>
  <c r="L13" i="2"/>
  <c r="Y72" i="3"/>
  <c r="Q21" i="4"/>
  <c r="Y76" i="3"/>
  <c r="Y83" i="3"/>
  <c r="Q27" i="4"/>
  <c r="Y81" i="3"/>
  <c r="Y82" i="3"/>
  <c r="Y85" i="3"/>
  <c r="Y78" i="3"/>
  <c r="Y77" i="3"/>
  <c r="AN55" i="3"/>
  <c r="Y79" i="3"/>
  <c r="AK55" i="3"/>
  <c r="T5" i="4" s="1"/>
  <c r="T19" i="4" s="1"/>
  <c r="Y75" i="3"/>
  <c r="Y74" i="3"/>
  <c r="EA28" i="3"/>
  <c r="EB28" i="3" s="1"/>
  <c r="W8" i="4"/>
  <c r="W21" i="4" s="1"/>
  <c r="AN54" i="3"/>
  <c r="AV54" i="3"/>
  <c r="AK54" i="3"/>
  <c r="L8" i="2"/>
  <c r="AR72" i="3"/>
  <c r="W11" i="4"/>
  <c r="W24" i="4" s="1"/>
  <c r="W9" i="4"/>
  <c r="W22" i="4" s="1"/>
  <c r="AS72" i="3"/>
  <c r="AQ82" i="3"/>
  <c r="W6" i="4"/>
  <c r="W20" i="4" s="1"/>
  <c r="F82" i="3"/>
  <c r="K82" i="3" s="1"/>
  <c r="EA21" i="3"/>
  <c r="EB21" i="3" s="1"/>
  <c r="C38" i="3"/>
  <c r="C39" i="3"/>
  <c r="C41" i="3"/>
  <c r="W5" i="4"/>
  <c r="EA19" i="3"/>
  <c r="EB20" i="3" s="1"/>
  <c r="EA25" i="3"/>
  <c r="S39" i="3"/>
  <c r="C40" i="3"/>
  <c r="EA22" i="3"/>
  <c r="EB23" i="3" s="1"/>
  <c r="AO72" i="3"/>
  <c r="EA26" i="3"/>
  <c r="EB27" i="3" s="1"/>
  <c r="Q26" i="4"/>
  <c r="Q47" i="4"/>
  <c r="Q53" i="4" s="1"/>
  <c r="H47" i="4"/>
  <c r="H49" i="4"/>
  <c r="H29" i="5"/>
  <c r="Q48" i="4"/>
  <c r="H48" i="4"/>
  <c r="G76" i="3"/>
  <c r="AS76" i="3"/>
  <c r="AR76" i="3"/>
  <c r="E6" i="4" s="1"/>
  <c r="AO76" i="3"/>
  <c r="AQ80" i="3"/>
  <c r="F80" i="3"/>
  <c r="K81" i="3" s="1"/>
  <c r="AW80" i="3"/>
  <c r="AS73" i="3"/>
  <c r="AR73" i="3"/>
  <c r="G73" i="3"/>
  <c r="L73" i="3" s="1"/>
  <c r="AS85" i="3"/>
  <c r="AR85" i="3"/>
  <c r="E15" i="4" s="1"/>
  <c r="G85" i="3"/>
  <c r="L85" i="3" s="1"/>
  <c r="Q36" i="4"/>
  <c r="Q28" i="4"/>
  <c r="AQ73" i="3"/>
  <c r="F73" i="3"/>
  <c r="K73" i="3" s="1"/>
  <c r="AW73" i="3"/>
  <c r="K31" i="4"/>
  <c r="K30" i="4"/>
  <c r="K33" i="4"/>
  <c r="K39" i="4" s="1"/>
  <c r="Q20" i="4"/>
  <c r="Z37" i="4"/>
  <c r="Z35" i="4"/>
  <c r="Z19" i="4"/>
  <c r="Z45" i="4"/>
  <c r="L14" i="2"/>
  <c r="Y22" i="5"/>
  <c r="N16" i="5"/>
  <c r="M9" i="5"/>
  <c r="M16" i="5"/>
  <c r="N8" i="5"/>
  <c r="N14" i="5"/>
  <c r="M8" i="5"/>
  <c r="Y7" i="5"/>
  <c r="N11" i="5"/>
  <c r="M7" i="5"/>
  <c r="M11" i="5"/>
  <c r="Y6" i="5"/>
  <c r="Z5" i="5"/>
  <c r="N10" i="5"/>
  <c r="Y5" i="5"/>
  <c r="Z9" i="5"/>
  <c r="Y9" i="5"/>
  <c r="Y21" i="5"/>
  <c r="Y20" i="5"/>
  <c r="Z6" i="5"/>
  <c r="M10" i="5"/>
  <c r="N9" i="5"/>
  <c r="M14" i="5"/>
  <c r="Z7" i="5"/>
  <c r="N7" i="5"/>
  <c r="Y24" i="5"/>
  <c r="Y25" i="5" s="1"/>
  <c r="AW83" i="3"/>
  <c r="F83" i="3"/>
  <c r="AQ83" i="3"/>
  <c r="AQ85" i="3"/>
  <c r="AW85" i="3"/>
  <c r="F85" i="3"/>
  <c r="K85" i="3" s="1"/>
  <c r="Z24" i="4"/>
  <c r="Q24" i="4"/>
  <c r="EA18" i="3"/>
  <c r="AO73" i="3"/>
  <c r="BJ1" i="3"/>
  <c r="AS77" i="3"/>
  <c r="G77" i="3"/>
  <c r="AR77" i="3"/>
  <c r="E7" i="4" s="1"/>
  <c r="AO77" i="3"/>
  <c r="AI97" i="3"/>
  <c r="AH89" i="3"/>
  <c r="F74" i="3"/>
  <c r="AW74" i="3"/>
  <c r="AQ74" i="3"/>
  <c r="AH91" i="3"/>
  <c r="AI99" i="3"/>
  <c r="H31" i="4"/>
  <c r="H30" i="4"/>
  <c r="H33" i="4"/>
  <c r="H39" i="4" s="1"/>
  <c r="T21" i="4"/>
  <c r="AW79" i="3"/>
  <c r="AQ79" i="3"/>
  <c r="F79" i="3"/>
  <c r="AV52" i="3"/>
  <c r="AN52" i="3"/>
  <c r="AK52" i="3"/>
  <c r="AW77" i="3"/>
  <c r="F77" i="3"/>
  <c r="AQ77" i="3"/>
  <c r="G74" i="3"/>
  <c r="AS74" i="3"/>
  <c r="AR74" i="3"/>
  <c r="AO74" i="3"/>
  <c r="AR78" i="3"/>
  <c r="E8" i="4" s="1"/>
  <c r="E21" i="4" s="1"/>
  <c r="G78" i="3"/>
  <c r="AS78" i="3"/>
  <c r="AI96" i="3"/>
  <c r="AH88" i="3"/>
  <c r="W36" i="4"/>
  <c r="W28" i="4"/>
  <c r="AI98" i="3"/>
  <c r="AH90" i="3"/>
  <c r="AN60" i="3"/>
  <c r="AK60" i="3"/>
  <c r="T10" i="4" s="1"/>
  <c r="T23" i="4" s="1"/>
  <c r="AV60" i="3"/>
  <c r="Z22" i="4"/>
  <c r="Z20" i="4"/>
  <c r="AQ78" i="3"/>
  <c r="AW78" i="3"/>
  <c r="F78" i="3"/>
  <c r="AX113" i="3"/>
  <c r="Q47" i="3" s="1"/>
  <c r="Q43" i="3"/>
  <c r="F76" i="3"/>
  <c r="AQ76" i="3"/>
  <c r="AW76" i="3"/>
  <c r="L16" i="2"/>
  <c r="AV53" i="3"/>
  <c r="AK53" i="3"/>
  <c r="AN53" i="3"/>
  <c r="AQ75" i="3"/>
  <c r="AW75" i="3"/>
  <c r="F75" i="3"/>
  <c r="K75" i="3" s="1"/>
  <c r="G83" i="3"/>
  <c r="AS83" i="3"/>
  <c r="AR83" i="3"/>
  <c r="E13" i="4" s="1"/>
  <c r="AS75" i="3"/>
  <c r="AR75" i="3"/>
  <c r="E5" i="4" s="1"/>
  <c r="G75" i="3"/>
  <c r="AS79" i="3"/>
  <c r="AR79" i="3"/>
  <c r="E9" i="4" s="1"/>
  <c r="E23" i="4" s="1"/>
  <c r="G79" i="3"/>
  <c r="L80" i="3" s="1"/>
  <c r="AO75" i="3"/>
  <c r="G81" i="3"/>
  <c r="L81" i="3" s="1"/>
  <c r="AS81" i="3"/>
  <c r="AR81" i="3"/>
  <c r="E11" i="4" s="1"/>
  <c r="E24" i="4" s="1"/>
  <c r="AO81" i="3"/>
  <c r="Q22" i="4"/>
  <c r="AV65" i="3"/>
  <c r="AK65" i="3"/>
  <c r="T15" i="4" s="1"/>
  <c r="AN65" i="3"/>
  <c r="Q35" i="4"/>
  <c r="Q45" i="4"/>
  <c r="Q19" i="4"/>
  <c r="Q37" i="4"/>
  <c r="AV64" i="3"/>
  <c r="AN64" i="3"/>
  <c r="AK64" i="3"/>
  <c r="T14" i="4" s="1"/>
  <c r="T27" i="4" s="1"/>
  <c r="N31" i="4"/>
  <c r="N33" i="4"/>
  <c r="N39" i="4" s="1"/>
  <c r="N30" i="4"/>
  <c r="W13" i="4"/>
  <c r="W26" i="4" s="1"/>
  <c r="EA29" i="3"/>
  <c r="EB29" i="3" s="1"/>
  <c r="T25" i="4"/>
  <c r="BD1" i="3"/>
  <c r="U1" i="5" a="1"/>
  <c r="U1" i="5" s="1"/>
  <c r="U9" i="5" a="1"/>
  <c r="U9" i="5" s="1"/>
  <c r="AY113" i="3"/>
  <c r="AZ26" i="1"/>
  <c r="T24" i="4" l="1"/>
  <c r="K74" i="3"/>
  <c r="L77" i="3"/>
  <c r="E20" i="4"/>
  <c r="EB26" i="3"/>
  <c r="W25" i="4"/>
  <c r="W19" i="4"/>
  <c r="EB19" i="3"/>
  <c r="EB25" i="3"/>
  <c r="K32" i="4"/>
  <c r="K38" i="4" s="1"/>
  <c r="K43" i="4" s="1"/>
  <c r="K44" i="4" s="1"/>
  <c r="L75" i="3"/>
  <c r="L74" i="3"/>
  <c r="K77" i="3"/>
  <c r="EB22" i="3"/>
  <c r="W23" i="4"/>
  <c r="K32" i="5"/>
  <c r="K63" i="5"/>
  <c r="M94" i="3"/>
  <c r="K45" i="3"/>
  <c r="J89" i="3"/>
  <c r="DJ12" i="3"/>
  <c r="AJ29" i="3"/>
  <c r="AJ22" i="3"/>
  <c r="AJ18" i="3"/>
  <c r="AJ19" i="3"/>
  <c r="BD9" i="3"/>
  <c r="CP5" i="3"/>
  <c r="K58" i="5"/>
  <c r="K48" i="5"/>
  <c r="K67" i="5"/>
  <c r="K71" i="5"/>
  <c r="K43" i="5"/>
  <c r="K41" i="5"/>
  <c r="K96" i="5"/>
  <c r="K75" i="5"/>
  <c r="K54" i="5"/>
  <c r="K97" i="5"/>
  <c r="K85" i="5"/>
  <c r="K73" i="5"/>
  <c r="O46" i="3"/>
  <c r="K47" i="3"/>
  <c r="J91" i="3"/>
  <c r="O45" i="3"/>
  <c r="E95" i="3"/>
  <c r="M95" i="3"/>
  <c r="K43" i="3"/>
  <c r="DJ31" i="3"/>
  <c r="M96" i="3"/>
  <c r="J90" i="3"/>
  <c r="AE94" i="3"/>
  <c r="O44" i="3"/>
  <c r="DN66" i="3"/>
  <c r="T31" i="3" s="1"/>
  <c r="AJ28" i="3"/>
  <c r="BR9" i="3"/>
  <c r="K44" i="3"/>
  <c r="BN9" i="3"/>
  <c r="AC31" i="3"/>
  <c r="AA4" i="3"/>
  <c r="DJ66" i="3"/>
  <c r="DK66" i="3" s="1"/>
  <c r="AO1" i="3"/>
  <c r="AJ27" i="3"/>
  <c r="B54" i="4"/>
  <c r="AJ25" i="3"/>
  <c r="CN5" i="3"/>
  <c r="B99" i="3"/>
  <c r="B97" i="3" s="1"/>
  <c r="CL5" i="3"/>
  <c r="J92" i="3"/>
  <c r="BM9" i="3"/>
  <c r="AJ21" i="3"/>
  <c r="BD8" i="3"/>
  <c r="A5" i="3"/>
  <c r="B50" i="4" s="1"/>
  <c r="B52" i="4"/>
  <c r="B57" i="4"/>
  <c r="BV11" i="3"/>
  <c r="BD10" i="3"/>
  <c r="AJ26" i="3"/>
  <c r="AJ17" i="3"/>
  <c r="AJ24" i="3"/>
  <c r="AJ20" i="3"/>
  <c r="AJ23" i="3"/>
  <c r="K105" i="5"/>
  <c r="K28" i="2"/>
  <c r="K95" i="5"/>
  <c r="K100" i="5"/>
  <c r="K98" i="5"/>
  <c r="K33" i="5"/>
  <c r="K104" i="5"/>
  <c r="K86" i="5"/>
  <c r="K35" i="5"/>
  <c r="K46" i="5"/>
  <c r="K51" i="5"/>
  <c r="K44" i="5"/>
  <c r="K42" i="5"/>
  <c r="K40" i="5"/>
  <c r="K47" i="5"/>
  <c r="K50" i="5"/>
  <c r="K66" i="5"/>
  <c r="K69" i="5"/>
  <c r="K29" i="5"/>
  <c r="T27" i="2"/>
  <c r="K68" i="5"/>
  <c r="S30" i="2"/>
  <c r="K74" i="5"/>
  <c r="S31" i="2"/>
  <c r="K77" i="5"/>
  <c r="K90" i="5"/>
  <c r="K37" i="5"/>
  <c r="K93" i="5"/>
  <c r="K52" i="5"/>
  <c r="J26" i="2"/>
  <c r="K26" i="2" s="1"/>
  <c r="E25" i="4"/>
  <c r="H32" i="4"/>
  <c r="H38" i="4" s="1"/>
  <c r="H43" i="4" s="1"/>
  <c r="W35" i="4"/>
  <c r="Q31" i="4"/>
  <c r="Q33" i="4"/>
  <c r="Q39" i="4" s="1"/>
  <c r="Q30" i="4"/>
  <c r="E26" i="4"/>
  <c r="E27" i="4"/>
  <c r="W37" i="4"/>
  <c r="L83" i="3"/>
  <c r="L84" i="3"/>
  <c r="W45" i="4"/>
  <c r="K78" i="3"/>
  <c r="L78" i="3"/>
  <c r="E45" i="4"/>
  <c r="E19" i="4"/>
  <c r="E37" i="4"/>
  <c r="E35" i="4"/>
  <c r="M21" i="5"/>
  <c r="M23" i="5" s="1"/>
  <c r="M24" i="5" s="1"/>
  <c r="M18" i="5"/>
  <c r="M17" i="5"/>
  <c r="T35" i="4"/>
  <c r="T36" i="4"/>
  <c r="T28" i="4"/>
  <c r="T33" i="4" s="1"/>
  <c r="T39" i="4" s="1"/>
  <c r="K83" i="3"/>
  <c r="K84" i="3"/>
  <c r="EB30" i="3"/>
  <c r="L76" i="3"/>
  <c r="N21" i="5"/>
  <c r="N23" i="5" s="1"/>
  <c r="N24" i="5" s="1"/>
  <c r="N18" i="5"/>
  <c r="N17" i="5"/>
  <c r="E36" i="4"/>
  <c r="E28" i="4"/>
  <c r="W27" i="4"/>
  <c r="W33" i="4" s="1"/>
  <c r="W39" i="4" s="1"/>
  <c r="N32" i="4"/>
  <c r="N38" i="4" s="1"/>
  <c r="N43" i="4" s="1"/>
  <c r="T37" i="4"/>
  <c r="K80" i="3"/>
  <c r="Q54" i="4"/>
  <c r="Y10" i="5"/>
  <c r="Y11" i="5" s="1"/>
  <c r="Q49" i="4"/>
  <c r="Q55" i="4" s="1"/>
  <c r="L82" i="3"/>
  <c r="L79" i="3"/>
  <c r="E22" i="4"/>
  <c r="K76" i="3"/>
  <c r="K79" i="3"/>
  <c r="Z33" i="4"/>
  <c r="Z39" i="4" s="1"/>
  <c r="Z31" i="4"/>
  <c r="Z30" i="4"/>
  <c r="Z32" i="4" s="1"/>
  <c r="Z38" i="4" s="1"/>
  <c r="J3" i="2" l="1"/>
  <c r="K3" i="2" s="1"/>
  <c r="Q32" i="4"/>
  <c r="Q38" i="4" s="1"/>
  <c r="S32" i="2"/>
  <c r="J22" i="2" s="1"/>
  <c r="K22" i="2" s="1"/>
  <c r="CG21" i="3"/>
  <c r="L29" i="5"/>
  <c r="M29" i="5"/>
  <c r="Q43" i="4"/>
  <c r="M37" i="5"/>
  <c r="L37" i="5"/>
  <c r="M40" i="5"/>
  <c r="L40" i="5"/>
  <c r="M46" i="5"/>
  <c r="L46" i="5"/>
  <c r="L35" i="5"/>
  <c r="M35" i="5"/>
  <c r="K81" i="5"/>
  <c r="M69" i="5"/>
  <c r="L69" i="5"/>
  <c r="M48" i="5"/>
  <c r="L48" i="5"/>
  <c r="L98" i="5"/>
  <c r="M98" i="5"/>
  <c r="AE2" i="3"/>
  <c r="S89" i="3" s="1"/>
  <c r="M100" i="5"/>
  <c r="L100" i="5"/>
  <c r="AE95" i="3"/>
  <c r="DR31" i="3"/>
  <c r="K96" i="3"/>
  <c r="V6" i="3"/>
  <c r="L67" i="5"/>
  <c r="M67" i="5"/>
  <c r="K56" i="5"/>
  <c r="K79" i="5"/>
  <c r="CV72" i="3"/>
  <c r="CV71" i="3"/>
  <c r="O43" i="3"/>
  <c r="M42" i="5"/>
  <c r="L42" i="5"/>
  <c r="L77" i="5"/>
  <c r="M77" i="5"/>
  <c r="L86" i="5"/>
  <c r="M86" i="5"/>
  <c r="K107" i="5"/>
  <c r="L68" i="5"/>
  <c r="M68" i="5"/>
  <c r="H44" i="4"/>
  <c r="S21" i="2"/>
  <c r="L26" i="2"/>
  <c r="T30" i="4"/>
  <c r="T31" i="4"/>
  <c r="L32" i="5"/>
  <c r="M32" i="5"/>
  <c r="K57" i="5"/>
  <c r="K108" i="5"/>
  <c r="J18" i="2"/>
  <c r="K18" i="2" s="1"/>
  <c r="J19" i="2"/>
  <c r="K19" i="2" s="1"/>
  <c r="L44" i="5"/>
  <c r="M44" i="5"/>
  <c r="L95" i="5"/>
  <c r="M95" i="5"/>
  <c r="DN34" i="3"/>
  <c r="X34" i="3" s="1"/>
  <c r="DN32" i="3"/>
  <c r="X32" i="3" s="1"/>
  <c r="DN28" i="3"/>
  <c r="X28" i="3" s="1"/>
  <c r="AI28" i="3" s="1"/>
  <c r="DN35" i="3"/>
  <c r="X35" i="3" s="1"/>
  <c r="DN36" i="3"/>
  <c r="X36" i="3" s="1"/>
  <c r="DN25" i="3"/>
  <c r="X25" i="3" s="1"/>
  <c r="AI25" i="3" s="1"/>
  <c r="DN24" i="3"/>
  <c r="X24" i="3" s="1"/>
  <c r="AI24" i="3" s="1"/>
  <c r="DN29" i="3"/>
  <c r="X29" i="3" s="1"/>
  <c r="AI29" i="3" s="1"/>
  <c r="DN22" i="3"/>
  <c r="X22" i="3" s="1"/>
  <c r="AI22" i="3" s="1"/>
  <c r="DN30" i="3"/>
  <c r="X30" i="3" s="1"/>
  <c r="DN21" i="3"/>
  <c r="X21" i="3" s="1"/>
  <c r="AI21" i="3" s="1"/>
  <c r="DN11" i="3"/>
  <c r="X13" i="3" s="1"/>
  <c r="DN17" i="3"/>
  <c r="X17" i="3" s="1"/>
  <c r="AI17" i="3" s="1"/>
  <c r="DN26" i="3"/>
  <c r="X26" i="3" s="1"/>
  <c r="AI26" i="3" s="1"/>
  <c r="DN20" i="3"/>
  <c r="X20" i="3" s="1"/>
  <c r="AI20" i="3" s="1"/>
  <c r="DN12" i="3"/>
  <c r="X14" i="3" s="1"/>
  <c r="DN33" i="3"/>
  <c r="X33" i="3" s="1"/>
  <c r="DN27" i="3"/>
  <c r="X27" i="3" s="1"/>
  <c r="AI27" i="3" s="1"/>
  <c r="DN19" i="3"/>
  <c r="X19" i="3" s="1"/>
  <c r="AI19" i="3" s="1"/>
  <c r="DN18" i="3"/>
  <c r="X18" i="3" s="1"/>
  <c r="AI18" i="3" s="1"/>
  <c r="DN31" i="3"/>
  <c r="X31" i="3" s="1"/>
  <c r="DN23" i="3"/>
  <c r="X23" i="3" s="1"/>
  <c r="AI23" i="3" s="1"/>
  <c r="BG11" i="3"/>
  <c r="BI8" i="3"/>
  <c r="BG4" i="3"/>
  <c r="AC39" i="3"/>
  <c r="AC38" i="3"/>
  <c r="AC40" i="3"/>
  <c r="AJ30" i="3"/>
  <c r="AC41" i="3"/>
  <c r="AP11" i="3"/>
  <c r="AS10" i="3"/>
  <c r="AO11" i="3"/>
  <c r="M97" i="5"/>
  <c r="L97" i="5"/>
  <c r="CI5" i="3"/>
  <c r="CR5" i="3" s="1"/>
  <c r="CJ5" i="3"/>
  <c r="E33" i="4"/>
  <c r="E39" i="4" s="1"/>
  <c r="E31" i="4"/>
  <c r="E30" i="4"/>
  <c r="E32" i="4" s="1"/>
  <c r="E38" i="4" s="1"/>
  <c r="E43" i="4" s="1"/>
  <c r="K83" i="5"/>
  <c r="K53" i="5"/>
  <c r="K106" i="5"/>
  <c r="AV106" i="3"/>
  <c r="K46" i="3" s="1"/>
  <c r="AL10" i="3"/>
  <c r="AL11" i="3" s="1"/>
  <c r="K61" i="5"/>
  <c r="L41" i="5"/>
  <c r="M41" i="5"/>
  <c r="K99" i="5"/>
  <c r="B48" i="4"/>
  <c r="C1" i="3"/>
  <c r="B89" i="3"/>
  <c r="B88" i="3"/>
  <c r="BS8" i="3"/>
  <c r="N44" i="4"/>
  <c r="J4" i="2"/>
  <c r="K4" i="2" s="1"/>
  <c r="K78" i="5"/>
  <c r="L58" i="5"/>
  <c r="M58" i="5"/>
  <c r="M52" i="5"/>
  <c r="L52" i="5"/>
  <c r="K87" i="5"/>
  <c r="L74" i="5"/>
  <c r="M74" i="5"/>
  <c r="BP9" i="3"/>
  <c r="BO9" i="3" s="1"/>
  <c r="B90" i="3" s="1"/>
  <c r="BQ9" i="3"/>
  <c r="BT9" i="3" s="1"/>
  <c r="BS9" i="3" s="1"/>
  <c r="B91" i="3" s="1"/>
  <c r="K80" i="5"/>
  <c r="K62" i="5"/>
  <c r="L50" i="5"/>
  <c r="M50" i="5"/>
  <c r="K94" i="5"/>
  <c r="AH2" i="3"/>
  <c r="AH4" i="3"/>
  <c r="CN85" i="3"/>
  <c r="K102" i="5"/>
  <c r="K76" i="5"/>
  <c r="L3" i="2"/>
  <c r="M75" i="5"/>
  <c r="L75" i="5"/>
  <c r="K70" i="5"/>
  <c r="W31" i="4"/>
  <c r="K82" i="5"/>
  <c r="M51" i="5"/>
  <c r="L51" i="5"/>
  <c r="K101" i="5"/>
  <c r="S31" i="3"/>
  <c r="BD31" i="3"/>
  <c r="K89" i="5"/>
  <c r="K30" i="5"/>
  <c r="M85" i="5"/>
  <c r="L85" i="5"/>
  <c r="M54" i="5"/>
  <c r="L54" i="5"/>
  <c r="M105" i="5"/>
  <c r="L105" i="5"/>
  <c r="M63" i="5"/>
  <c r="L63" i="5"/>
  <c r="W30" i="4"/>
  <c r="K84" i="5"/>
  <c r="K72" i="5"/>
  <c r="K64" i="5"/>
  <c r="K38" i="5"/>
  <c r="K103" i="5"/>
  <c r="X95" i="3"/>
  <c r="X97" i="3"/>
  <c r="X96" i="3"/>
  <c r="X98" i="3"/>
  <c r="K91" i="5"/>
  <c r="M90" i="5"/>
  <c r="L90" i="5"/>
  <c r="K92" i="5"/>
  <c r="L71" i="5"/>
  <c r="M71" i="5"/>
  <c r="K59" i="5"/>
  <c r="Y99" i="3"/>
  <c r="DY2" i="3"/>
  <c r="DZ2" i="3" s="1"/>
  <c r="BD96" i="3" s="1"/>
  <c r="K94" i="3"/>
  <c r="T6" i="3"/>
  <c r="M43" i="5"/>
  <c r="L43" i="5"/>
  <c r="K65" i="5"/>
  <c r="L28" i="2"/>
  <c r="K88" i="5"/>
  <c r="K39" i="5"/>
  <c r="Z43" i="4"/>
  <c r="Z44" i="4" s="1"/>
  <c r="K55" i="5"/>
  <c r="M73" i="5"/>
  <c r="L73" i="5"/>
  <c r="K34" i="5"/>
  <c r="K45" i="5"/>
  <c r="AS49" i="3"/>
  <c r="A4" i="3"/>
  <c r="AG13" i="3"/>
  <c r="BA26" i="3"/>
  <c r="BK3" i="3"/>
  <c r="CI3" i="3"/>
  <c r="CS3" i="3" s="1"/>
  <c r="AW16" i="3" s="1"/>
  <c r="K95" i="3"/>
  <c r="U6" i="3"/>
  <c r="L47" i="5"/>
  <c r="M47" i="5"/>
  <c r="M96" i="5"/>
  <c r="L96" i="5"/>
  <c r="M66" i="5"/>
  <c r="L66" i="5"/>
  <c r="L104" i="5"/>
  <c r="M104" i="5"/>
  <c r="M33" i="5"/>
  <c r="L33" i="5"/>
  <c r="BJ97" i="3"/>
  <c r="K49" i="5"/>
  <c r="O89" i="3"/>
  <c r="Y90" i="3"/>
  <c r="BA27" i="3"/>
  <c r="AY13" i="3"/>
  <c r="BK4" i="3"/>
  <c r="B13" i="3"/>
  <c r="M93" i="5"/>
  <c r="L93" i="5"/>
  <c r="K36" i="5"/>
  <c r="K31" i="5"/>
  <c r="K60" i="5"/>
  <c r="DL51" i="3" l="1"/>
  <c r="BX51" i="3" a="1"/>
  <c r="BX51" i="3" s="1"/>
  <c r="AF16" i="3"/>
  <c r="CW77" i="3" a="1"/>
  <c r="CW77" i="3" s="1"/>
  <c r="AE16" i="3"/>
  <c r="BV52" i="3" a="1"/>
  <c r="BV52" i="3" s="1"/>
  <c r="BW60" i="3" a="1"/>
  <c r="BW60" i="3" s="1"/>
  <c r="BW52" i="3" a="1"/>
  <c r="BW52" i="3" s="1"/>
  <c r="DV56" i="3" a="1"/>
  <c r="DV56" i="3" s="1"/>
  <c r="BT59" i="3" a="1"/>
  <c r="BT59" i="3" s="1"/>
  <c r="DV55" i="3" a="1"/>
  <c r="DV55" i="3" s="1"/>
  <c r="DI71" i="3" a="1"/>
  <c r="DI71" i="3" s="1"/>
  <c r="BT51" i="3" a="1"/>
  <c r="BT51" i="3" s="1"/>
  <c r="BX52" i="3" a="1"/>
  <c r="BX52" i="3" s="1"/>
  <c r="AY16" i="3"/>
  <c r="C16" i="3"/>
  <c r="BU16" i="3"/>
  <c r="N51" i="3"/>
  <c r="CE51" i="3"/>
  <c r="BM51" i="3"/>
  <c r="CJ71" i="3"/>
  <c r="CA51" i="3"/>
  <c r="DR51" i="3"/>
  <c r="BP51" i="3"/>
  <c r="BO51" i="3"/>
  <c r="CL51" i="3"/>
  <c r="R16" i="3"/>
  <c r="CT56" i="3" a="1"/>
  <c r="CT56" i="3" s="1"/>
  <c r="BW56" i="3" a="1"/>
  <c r="BW56" i="3" s="1"/>
  <c r="BS60" i="3" a="1"/>
  <c r="BS60" i="3" s="1"/>
  <c r="BS52" i="3" a="1"/>
  <c r="BS52" i="3" s="1"/>
  <c r="CT59" i="3" a="1"/>
  <c r="CT59" i="3" s="1"/>
  <c r="BW59" i="3" a="1"/>
  <c r="BW59" i="3" s="1"/>
  <c r="DV63" i="3" a="1"/>
  <c r="DV63" i="3" s="1"/>
  <c r="BS51" i="3" a="1"/>
  <c r="BS51" i="3" s="1"/>
  <c r="CV76" i="3" a="1"/>
  <c r="CV76" i="3" s="1"/>
  <c r="CX76" i="3" a="1"/>
  <c r="CX76" i="3" s="1"/>
  <c r="DP16" i="3" a="1"/>
  <c r="DP16" i="3" s="1"/>
  <c r="DO16" i="3"/>
  <c r="CH51" i="3"/>
  <c r="DE16" i="3"/>
  <c r="CL71" i="3"/>
  <c r="CD51" i="3"/>
  <c r="DG16" i="3"/>
  <c r="DD51" i="3"/>
  <c r="L51" i="3"/>
  <c r="BL71" i="3"/>
  <c r="O16" i="3"/>
  <c r="BI71" i="3"/>
  <c r="BG71" i="3"/>
  <c r="BU60" i="3" a="1"/>
  <c r="BU60" i="3" s="1"/>
  <c r="BW64" i="3" a="1"/>
  <c r="BW64" i="3" s="1"/>
  <c r="BT64" i="3" a="1"/>
  <c r="BT64" i="3" s="1"/>
  <c r="BU52" i="3" a="1"/>
  <c r="BU52" i="3" s="1"/>
  <c r="BW55" i="3" a="1"/>
  <c r="BW55" i="3" s="1"/>
  <c r="BX55" i="3" a="1"/>
  <c r="BX55" i="3" s="1"/>
  <c r="BW63" i="3" a="1"/>
  <c r="BW63" i="3" s="1"/>
  <c r="BU55" i="3" a="1"/>
  <c r="BU55" i="3" s="1"/>
  <c r="CW76" i="3" a="1"/>
  <c r="CW76" i="3" s="1"/>
  <c r="BU64" i="3" a="1"/>
  <c r="BU64" i="3" s="1"/>
  <c r="BU56" i="3" a="1"/>
  <c r="BU56" i="3" s="1"/>
  <c r="CT52" i="3" a="1"/>
  <c r="CT52" i="3" s="1"/>
  <c r="DV60" i="3" a="1"/>
  <c r="DV60" i="3" s="1"/>
  <c r="BU63" i="3" a="1"/>
  <c r="BU63" i="3" s="1"/>
  <c r="BT63" i="3" a="1"/>
  <c r="BT63" i="3" s="1"/>
  <c r="BS63" i="3" a="1"/>
  <c r="BS63" i="3" s="1"/>
  <c r="BU51" i="3" a="1"/>
  <c r="BU51" i="3" s="1"/>
  <c r="CX77" i="3" a="1"/>
  <c r="CX77" i="3" s="1"/>
  <c r="AL51" i="3"/>
  <c r="DM16" i="3"/>
  <c r="DB51" i="3"/>
  <c r="F16" i="3"/>
  <c r="BD71" i="3"/>
  <c r="DE51" i="3"/>
  <c r="A16" i="3"/>
  <c r="DS51" i="3"/>
  <c r="CI71" i="3"/>
  <c r="DF16" i="3"/>
  <c r="CB51" i="3"/>
  <c r="J16" i="3"/>
  <c r="BT71" i="3"/>
  <c r="CN51" i="3" a="1"/>
  <c r="CN51" i="3" s="1"/>
  <c r="DJ72" i="3" a="1"/>
  <c r="DJ72" i="3" s="1"/>
  <c r="DI72" i="3" a="1"/>
  <c r="DI72" i="3" s="1"/>
  <c r="BS59" i="3" a="1"/>
  <c r="BS59" i="3" s="1"/>
  <c r="DV59" i="3" a="1"/>
  <c r="DV59" i="3" s="1"/>
  <c r="DK16" i="3"/>
  <c r="AM71" i="3"/>
  <c r="CP51" i="3"/>
  <c r="CF51" i="3"/>
  <c r="CX16" i="3"/>
  <c r="BI16" i="3"/>
  <c r="BU71" i="3"/>
  <c r="BQ71" i="3"/>
  <c r="BH51" i="3"/>
  <c r="BX60" i="3" a="1"/>
  <c r="BX60" i="3" s="1"/>
  <c r="BT56" i="3" a="1"/>
  <c r="BT56" i="3" s="1"/>
  <c r="BT55" i="3" a="1"/>
  <c r="BT55" i="3" s="1"/>
  <c r="BW51" i="3" a="1"/>
  <c r="BW51" i="3" s="1"/>
  <c r="AH16" i="3"/>
  <c r="CW51" i="3"/>
  <c r="AY51" i="3"/>
  <c r="BE71" i="3"/>
  <c r="CR51" i="3"/>
  <c r="H16" i="3"/>
  <c r="BQ16" i="3"/>
  <c r="AC51" i="3"/>
  <c r="CI51" i="3"/>
  <c r="CT60" i="3" a="1"/>
  <c r="CT60" i="3" s="1"/>
  <c r="BU59" i="3" a="1"/>
  <c r="BU59" i="3" s="1"/>
  <c r="BS55" i="3" a="1"/>
  <c r="BS55" i="3" s="1"/>
  <c r="BV51" i="3" a="1"/>
  <c r="BV51" i="3" s="1"/>
  <c r="BC16" i="3"/>
  <c r="BZ51" i="3"/>
  <c r="BR71" i="3"/>
  <c r="BG51" i="3"/>
  <c r="CE71" i="3"/>
  <c r="BT16" i="3"/>
  <c r="T51" i="3"/>
  <c r="L16" i="3"/>
  <c r="CQ51" i="3"/>
  <c r="BS64" i="3" a="1"/>
  <c r="BS64" i="3" s="1"/>
  <c r="BT60" i="3" a="1"/>
  <c r="BT60" i="3" s="1"/>
  <c r="BV56" i="3" a="1"/>
  <c r="BV56" i="3" s="1"/>
  <c r="DV52" i="3" a="1"/>
  <c r="DV52" i="3" s="1"/>
  <c r="CU76" i="3" a="1"/>
  <c r="CU76" i="3" s="1"/>
  <c r="AP71" i="3"/>
  <c r="CK51" i="3"/>
  <c r="DT16" i="3"/>
  <c r="BE16" i="3"/>
  <c r="DS16" i="3"/>
  <c r="BJ51" i="3"/>
  <c r="K51" i="3"/>
  <c r="CV51" i="3"/>
  <c r="BV60" i="3" a="1"/>
  <c r="BV60" i="3" s="1"/>
  <c r="CV77" i="3" a="1"/>
  <c r="CV77" i="3" s="1"/>
  <c r="BV63" i="3" a="1"/>
  <c r="BV63" i="3" s="1"/>
  <c r="CT51" i="3" a="1"/>
  <c r="CT51" i="3" s="1"/>
  <c r="AS51" i="3"/>
  <c r="D16" i="3"/>
  <c r="DL16" i="3"/>
  <c r="H51" i="3"/>
  <c r="D51" i="3"/>
  <c r="CH71" i="3"/>
  <c r="BL51" i="3"/>
  <c r="BF51" i="3"/>
  <c r="BX71" i="3"/>
  <c r="CJ51" i="3"/>
  <c r="AE51" i="3"/>
  <c r="DV64" i="3" a="1"/>
  <c r="DV64" i="3" s="1"/>
  <c r="BS56" i="3" a="1"/>
  <c r="BS56" i="3" s="1"/>
  <c r="CU77" i="3" a="1"/>
  <c r="CU77" i="3" s="1"/>
  <c r="BV59" i="3" a="1"/>
  <c r="BV59" i="3" s="1"/>
  <c r="E16" i="3"/>
  <c r="AN71" i="3"/>
  <c r="DD16" i="3"/>
  <c r="BK71" i="3"/>
  <c r="BH16" i="3"/>
  <c r="CU51" i="3"/>
  <c r="I51" i="3"/>
  <c r="CX51" i="3"/>
  <c r="DA51" i="3"/>
  <c r="BC71" i="3"/>
  <c r="AG16" i="3"/>
  <c r="BT52" i="3" a="1"/>
  <c r="BT52" i="3" s="1"/>
  <c r="BV64" i="3" a="1"/>
  <c r="BV64" i="3" s="1"/>
  <c r="BX56" i="3" a="1"/>
  <c r="BX56" i="3" s="1"/>
  <c r="CT55" i="3" a="1"/>
  <c r="CT55" i="3" s="1"/>
  <c r="DV51" i="3" a="1"/>
  <c r="DV51" i="3" s="1"/>
  <c r="BV55" i="3" a="1"/>
  <c r="BV55" i="3" s="1"/>
  <c r="B51" i="3"/>
  <c r="E51" i="3"/>
  <c r="DA16" i="3"/>
  <c r="BZ71" i="3"/>
  <c r="CA71" i="3"/>
  <c r="DJ71" i="3" a="1"/>
  <c r="DJ71" i="3" s="1"/>
  <c r="BF71" i="3"/>
  <c r="AB51" i="3"/>
  <c r="DI51" i="3"/>
  <c r="CD71" i="3"/>
  <c r="C51" i="3"/>
  <c r="BC51" i="3"/>
  <c r="BX59" i="3" a="1"/>
  <c r="BX59" i="3" s="1"/>
  <c r="DQ16" i="3"/>
  <c r="DC51" i="3"/>
  <c r="CM51" i="3"/>
  <c r="CY16" i="3"/>
  <c r="DM51" i="3"/>
  <c r="BW71" i="3"/>
  <c r="DU16" i="3"/>
  <c r="BM71" i="3"/>
  <c r="BI51" i="3"/>
  <c r="AU51" i="3"/>
  <c r="CN27" i="3" a="1"/>
  <c r="CN27" i="3" s="1"/>
  <c r="AX83" i="3" a="1"/>
  <c r="AX83" i="3" s="1"/>
  <c r="CL29" i="3" a="1"/>
  <c r="CL29" i="3" s="1"/>
  <c r="CM29" i="3" s="1"/>
  <c r="CL20" i="3" a="1"/>
  <c r="CL20" i="3" s="1"/>
  <c r="CM20" i="3" s="1"/>
  <c r="CO20" i="3" s="1"/>
  <c r="DC22" i="3" a="1"/>
  <c r="DC22" i="3" s="1"/>
  <c r="DC23" i="3" a="1"/>
  <c r="DC23" i="3" s="1"/>
  <c r="AY82" i="3" a="1"/>
  <c r="AY82" i="3" s="1"/>
  <c r="CW28" i="3" a="1"/>
  <c r="CW28" i="3" s="1"/>
  <c r="DC28" i="3" a="1"/>
  <c r="DC28" i="3" s="1"/>
  <c r="AX81" i="3" a="1"/>
  <c r="AX81" i="3" s="1"/>
  <c r="CW17" i="3" a="1"/>
  <c r="CW17" i="3" s="1"/>
  <c r="AX85" i="3" a="1"/>
  <c r="AX85" i="3" s="1"/>
  <c r="CN18" i="3" a="1"/>
  <c r="CN18" i="3" s="1"/>
  <c r="DC24" i="3" a="1"/>
  <c r="DC24" i="3" s="1"/>
  <c r="CL19" i="3" a="1"/>
  <c r="CL19" i="3" s="1"/>
  <c r="CM19" i="3" s="1"/>
  <c r="CO19" i="3" s="1"/>
  <c r="AA23" i="3" a="1"/>
  <c r="AA23" i="3" s="1"/>
  <c r="AY84" i="3" a="1"/>
  <c r="AY84" i="3" s="1"/>
  <c r="DC27" i="3" a="1"/>
  <c r="DC27" i="3" s="1"/>
  <c r="CL27" i="3" a="1"/>
  <c r="CL27" i="3" s="1"/>
  <c r="CM27" i="3" s="1"/>
  <c r="CO27" i="3" s="1"/>
  <c r="CL28" i="3" a="1"/>
  <c r="CL28" i="3" s="1"/>
  <c r="CM28" i="3" s="1"/>
  <c r="CO28" i="3" s="1"/>
  <c r="CN29" i="3" a="1"/>
  <c r="CN29" i="3" s="1"/>
  <c r="AA26" i="3" a="1"/>
  <c r="AA26" i="3" s="1"/>
  <c r="CN17" i="3" a="1"/>
  <c r="CN17" i="3" s="1"/>
  <c r="CW30" i="3" a="1"/>
  <c r="CW30" i="3" s="1"/>
  <c r="CW12" i="3" s="1"/>
  <c r="AA18" i="3" a="1"/>
  <c r="AA18" i="3" s="1"/>
  <c r="CW24" i="3" a="1"/>
  <c r="CW24" i="3" s="1"/>
  <c r="CN21" i="3" a="1"/>
  <c r="CN21" i="3" s="1"/>
  <c r="AA19" i="3" a="1"/>
  <c r="AA19" i="3" s="1"/>
  <c r="CN23" i="3" a="1"/>
  <c r="CN23" i="3" s="1"/>
  <c r="AA29" i="3" a="1"/>
  <c r="AA29" i="3" s="1"/>
  <c r="CL26" i="3" a="1"/>
  <c r="CL26" i="3" s="1"/>
  <c r="CM26" i="3" s="1"/>
  <c r="CW26" i="3" a="1"/>
  <c r="CW26" i="3" s="1"/>
  <c r="CN20" i="3" a="1"/>
  <c r="CN20" i="3" s="1"/>
  <c r="DC25" i="3" a="1"/>
  <c r="DC25" i="3" s="1"/>
  <c r="AY85" i="3" a="1"/>
  <c r="AY85" i="3" s="1"/>
  <c r="AA22" i="3" a="1"/>
  <c r="AA22" i="3" s="1"/>
  <c r="CW18" i="3" a="1"/>
  <c r="CW18" i="3" s="1"/>
  <c r="CL21" i="3" a="1"/>
  <c r="CL21" i="3" s="1"/>
  <c r="CN19" i="3" a="1"/>
  <c r="CN19" i="3" s="1"/>
  <c r="CW23" i="3" a="1"/>
  <c r="CW23" i="3" s="1"/>
  <c r="AA28" i="3" a="1"/>
  <c r="AA28" i="3" s="1"/>
  <c r="CN25" i="3" a="1"/>
  <c r="CN25" i="3" s="1"/>
  <c r="CW22" i="3" a="1"/>
  <c r="CW22" i="3" s="1"/>
  <c r="CL18" i="3" a="1"/>
  <c r="CL18" i="3" s="1"/>
  <c r="CM18" i="3" s="1"/>
  <c r="CO18" i="3" s="1"/>
  <c r="DC19" i="3" a="1"/>
  <c r="DC19" i="3" s="1"/>
  <c r="AA30" i="3" a="1"/>
  <c r="AA30" i="3" s="1"/>
  <c r="CN24" i="3" a="1"/>
  <c r="CN24" i="3" s="1"/>
  <c r="DC21" i="3" a="1"/>
  <c r="DC21" i="3" s="1"/>
  <c r="CL30" i="3" a="1"/>
  <c r="CL30" i="3" s="1"/>
  <c r="CM30" i="3" s="1"/>
  <c r="CL24" i="3" a="1"/>
  <c r="CL24" i="3" s="1"/>
  <c r="CM24" i="3" s="1"/>
  <c r="CO24" i="3" s="1"/>
  <c r="AA21" i="3" a="1"/>
  <c r="AA21" i="3" s="1"/>
  <c r="DC26" i="3" a="1"/>
  <c r="DC26" i="3" s="1"/>
  <c r="AA17" i="3" a="1"/>
  <c r="AA17" i="3" s="1"/>
  <c r="CW20" i="3" a="1"/>
  <c r="CW20" i="3" s="1"/>
  <c r="CW19" i="3" a="1"/>
  <c r="CW19" i="3" s="1"/>
  <c r="AX84" i="3" a="1"/>
  <c r="AX84" i="3" s="1"/>
  <c r="CL17" i="3" a="1"/>
  <c r="CL17" i="3" s="1"/>
  <c r="CM17" i="3" s="1"/>
  <c r="CO17" i="3" s="1"/>
  <c r="AA20" i="3" a="1"/>
  <c r="AA20" i="3" s="1"/>
  <c r="CW25" i="3" a="1"/>
  <c r="CW25" i="3" s="1"/>
  <c r="CL22" i="3" a="1"/>
  <c r="CL22" i="3" s="1"/>
  <c r="CM22" i="3" s="1"/>
  <c r="CO22" i="3" s="1"/>
  <c r="AA27" i="3" a="1"/>
  <c r="AA27" i="3" s="1"/>
  <c r="CN28" i="3" a="1"/>
  <c r="CN28" i="3" s="1"/>
  <c r="DC29" i="3" a="1"/>
  <c r="DC29" i="3" s="1"/>
  <c r="DC17" i="3" a="1"/>
  <c r="DC17" i="3" s="1"/>
  <c r="DC20" i="3" a="1"/>
  <c r="DC20" i="3" s="1"/>
  <c r="DC30" i="3" a="1"/>
  <c r="DC30" i="3" s="1"/>
  <c r="DC12" i="3" s="1"/>
  <c r="AX82" i="3" a="1"/>
  <c r="AX82" i="3" s="1"/>
  <c r="AY81" i="3" a="1"/>
  <c r="AY81" i="3" s="1"/>
  <c r="CL25" i="3" a="1"/>
  <c r="CL25" i="3" s="1"/>
  <c r="CM25" i="3" s="1"/>
  <c r="CO25" i="3" s="1"/>
  <c r="CN30" i="3" a="1"/>
  <c r="CN30" i="3" s="1"/>
  <c r="CN22" i="3" a="1"/>
  <c r="CN22" i="3" s="1"/>
  <c r="AA24" i="3" a="1"/>
  <c r="AA24" i="3" s="1"/>
  <c r="CW27" i="3" a="1"/>
  <c r="CW27" i="3" s="1"/>
  <c r="AY83" i="3" a="1"/>
  <c r="AY83" i="3" s="1"/>
  <c r="CW29" i="3" a="1"/>
  <c r="CW29" i="3" s="1"/>
  <c r="CN26" i="3" a="1"/>
  <c r="CN26" i="3" s="1"/>
  <c r="AA25" i="3" a="1"/>
  <c r="AA25" i="3" s="1"/>
  <c r="DC18" i="3" a="1"/>
  <c r="DC18" i="3" s="1"/>
  <c r="CW21" i="3" a="1"/>
  <c r="CW21" i="3" s="1"/>
  <c r="CL23" i="3" a="1"/>
  <c r="CL23" i="3" s="1"/>
  <c r="CM23" i="3" s="1"/>
  <c r="CO23" i="3" s="1"/>
  <c r="BV36" i="3" a="1"/>
  <c r="BV36" i="3" s="1"/>
  <c r="H36" i="3" a="1"/>
  <c r="H36" i="3" s="1"/>
  <c r="BV32" i="3" a="1"/>
  <c r="BV32" i="3" s="1"/>
  <c r="R32" i="3" a="1"/>
  <c r="R32" i="3" s="1"/>
  <c r="R42" i="3" s="1"/>
  <c r="B32" i="3" a="1"/>
  <c r="B32" i="3" s="1"/>
  <c r="AB106" i="3" a="1"/>
  <c r="AB106" i="3" s="1"/>
  <c r="BF34" i="3" a="1"/>
  <c r="BF34" i="3" s="1"/>
  <c r="BO34" i="3" a="1"/>
  <c r="BO34" i="3" s="1"/>
  <c r="AA35" i="3" a="1"/>
  <c r="AA35" i="3" s="1"/>
  <c r="BF33" i="3" a="1"/>
  <c r="BF33" i="3" s="1"/>
  <c r="DC33" i="3" a="1"/>
  <c r="DC33" i="3" s="1"/>
  <c r="R34" i="3" a="1"/>
  <c r="R34" i="3" s="1"/>
  <c r="BO35" i="3" a="1"/>
  <c r="BO35" i="3" s="1"/>
  <c r="AB107" i="3" a="1"/>
  <c r="AB107" i="3" s="1"/>
  <c r="B33" i="3" a="1"/>
  <c r="B33" i="3" s="1"/>
  <c r="H33" i="3" a="1"/>
  <c r="H33" i="3" s="1"/>
  <c r="R33" i="3" a="1"/>
  <c r="R33" i="3" s="1"/>
  <c r="CW36" i="3" a="1"/>
  <c r="CW36" i="3" s="1"/>
  <c r="G108" i="3" s="1"/>
  <c r="AA36" i="3" a="1"/>
  <c r="AA36" i="3" s="1"/>
  <c r="BU36" i="3" a="1"/>
  <c r="BU36" i="3" s="1"/>
  <c r="H32" i="3" a="1"/>
  <c r="H32" i="3" s="1"/>
  <c r="BT36" i="3" a="1"/>
  <c r="BT36" i="3" s="1"/>
  <c r="AE108" i="3" a="1"/>
  <c r="AE108" i="3" s="1"/>
  <c r="R36" i="3" a="1"/>
  <c r="R36" i="3" s="1"/>
  <c r="X104" i="3" a="1"/>
  <c r="X104" i="3" s="1"/>
  <c r="AA32" i="3" a="1"/>
  <c r="AA32" i="3" s="1"/>
  <c r="BQ34" i="3" a="1"/>
  <c r="BQ34" i="3" s="1"/>
  <c r="H35" i="3" a="1"/>
  <c r="H35" i="3" s="1"/>
  <c r="R35" i="3" a="1"/>
  <c r="R35" i="3" s="1"/>
  <c r="BT33" i="3" a="1"/>
  <c r="BT33" i="3" s="1"/>
  <c r="BV33" i="3" a="1"/>
  <c r="BV33" i="3" s="1"/>
  <c r="BO36" i="3" a="1"/>
  <c r="BO36" i="3" s="1"/>
  <c r="AB108" i="3" a="1"/>
  <c r="AB108" i="3" s="1"/>
  <c r="BT32" i="3" a="1"/>
  <c r="BT32" i="3" s="1"/>
  <c r="AB104" i="3" a="1"/>
  <c r="AB104" i="3" s="1"/>
  <c r="X106" i="3" a="1"/>
  <c r="X106" i="3" s="1"/>
  <c r="BU34" i="3" a="1"/>
  <c r="BU34" i="3" s="1"/>
  <c r="AE107" i="3" a="1"/>
  <c r="AE107" i="3" s="1"/>
  <c r="BT35" i="3" a="1"/>
  <c r="BT35" i="3" s="1"/>
  <c r="BO33" i="3" a="1"/>
  <c r="BO33" i="3" s="1"/>
  <c r="DC36" i="3" a="1"/>
  <c r="DC36" i="3" s="1"/>
  <c r="AE104" i="3" a="1"/>
  <c r="AE104" i="3" s="1"/>
  <c r="DC32" i="3" a="1"/>
  <c r="DC32" i="3" s="1"/>
  <c r="DC34" i="3" a="1"/>
  <c r="DC34" i="3" s="1"/>
  <c r="BT34" i="3" a="1"/>
  <c r="BT34" i="3" s="1"/>
  <c r="CW35" i="3" a="1"/>
  <c r="CW35" i="3" s="1"/>
  <c r="G107" i="3" s="1"/>
  <c r="X107" i="3" a="1"/>
  <c r="X107" i="3" s="1"/>
  <c r="BQ35" i="3" a="1"/>
  <c r="BQ35" i="3" s="1"/>
  <c r="X105" i="3" a="1"/>
  <c r="X105" i="3" s="1"/>
  <c r="X108" i="3" a="1"/>
  <c r="X108" i="3" s="1"/>
  <c r="BQ36" i="3" a="1"/>
  <c r="BQ36" i="3" s="1"/>
  <c r="CW32" i="3" a="1"/>
  <c r="CW32" i="3" s="1"/>
  <c r="G104" i="3" s="1"/>
  <c r="BU32" i="3" a="1"/>
  <c r="BU32" i="3" s="1"/>
  <c r="AE106" i="3" a="1"/>
  <c r="AE106" i="3" s="1"/>
  <c r="BV35" i="3" a="1"/>
  <c r="BV35" i="3" s="1"/>
  <c r="CW33" i="3" a="1"/>
  <c r="CW33" i="3" s="1"/>
  <c r="G105" i="3" s="1"/>
  <c r="BQ33" i="3" a="1"/>
  <c r="BQ33" i="3" s="1"/>
  <c r="AA33" i="3" a="1"/>
  <c r="AA33" i="3" s="1"/>
  <c r="B36" i="3" a="1"/>
  <c r="B36" i="3" s="1"/>
  <c r="CW34" i="3" a="1"/>
  <c r="CW34" i="3" s="1"/>
  <c r="G106" i="3" s="1"/>
  <c r="H34" i="3" a="1"/>
  <c r="H34" i="3" s="1"/>
  <c r="DC35" i="3" a="1"/>
  <c r="DC35" i="3" s="1"/>
  <c r="BF36" i="3" a="1"/>
  <c r="BF36" i="3" s="1"/>
  <c r="BQ32" i="3" a="1"/>
  <c r="BQ32" i="3" s="1"/>
  <c r="BF32" i="3" a="1"/>
  <c r="BF32" i="3" s="1"/>
  <c r="BO32" i="3" a="1"/>
  <c r="BO32" i="3" s="1"/>
  <c r="AA34" i="3" a="1"/>
  <c r="AA34" i="3" s="1"/>
  <c r="BV34" i="3" a="1"/>
  <c r="BV34" i="3" s="1"/>
  <c r="B34" i="3" a="1"/>
  <c r="B34" i="3" s="1"/>
  <c r="C106" i="3" s="1"/>
  <c r="BF35" i="3" a="1"/>
  <c r="BF35" i="3" s="1"/>
  <c r="BU35" i="3" a="1"/>
  <c r="BU35" i="3" s="1"/>
  <c r="B35" i="3" a="1"/>
  <c r="B35" i="3" s="1"/>
  <c r="BU33" i="3" a="1"/>
  <c r="BU33" i="3" s="1"/>
  <c r="AE105" i="3" a="1"/>
  <c r="AE105" i="3" s="1"/>
  <c r="AB105" i="3" a="1"/>
  <c r="AB105" i="3" s="1"/>
  <c r="BA28" i="3" a="1"/>
  <c r="BA28" i="3" s="1"/>
  <c r="AU97" i="3" a="1"/>
  <c r="AU97" i="3" s="1"/>
  <c r="F105" i="3" a="1"/>
  <c r="F105" i="3" s="1"/>
  <c r="H105" i="3" a="1"/>
  <c r="H105" i="3" s="1"/>
  <c r="Y105" i="3" a="1"/>
  <c r="Y105" i="3" s="1"/>
  <c r="AA106" i="3" a="1"/>
  <c r="AA106" i="3" s="1"/>
  <c r="AC104" i="3" a="1"/>
  <c r="AC104" i="3" s="1"/>
  <c r="T108" i="3" a="1"/>
  <c r="T108" i="3" s="1"/>
  <c r="D105" i="3" a="1"/>
  <c r="D105" i="3" s="1"/>
  <c r="O105" i="3" a="1"/>
  <c r="O105" i="3" s="1"/>
  <c r="W106" i="3" a="1"/>
  <c r="W106" i="3" s="1"/>
  <c r="S104" i="3" a="1"/>
  <c r="S104" i="3" s="1"/>
  <c r="L104" i="3" a="1"/>
  <c r="L104" i="3" s="1"/>
  <c r="W108" i="3" a="1"/>
  <c r="W108" i="3" s="1"/>
  <c r="Y107" i="3" a="1"/>
  <c r="Y107" i="3" s="1"/>
  <c r="T105" i="3" a="1"/>
  <c r="T105" i="3" s="1"/>
  <c r="S105" i="3" a="1"/>
  <c r="S105" i="3" s="1"/>
  <c r="D106" i="3" a="1"/>
  <c r="D106" i="3" s="1"/>
  <c r="O104" i="3" a="1"/>
  <c r="O104" i="3" s="1"/>
  <c r="B108" i="3" a="1"/>
  <c r="B108" i="3" s="1"/>
  <c r="H108" i="3" a="1"/>
  <c r="H108" i="3" s="1"/>
  <c r="AC107" i="3" a="1"/>
  <c r="AC107" i="3" s="1"/>
  <c r="L107" i="3" a="1"/>
  <c r="L107" i="3" s="1"/>
  <c r="W105" i="3" a="1"/>
  <c r="W105" i="3" s="1"/>
  <c r="B105" i="3" a="1"/>
  <c r="B105" i="3" s="1"/>
  <c r="O106" i="3" a="1"/>
  <c r="O106" i="3" s="1"/>
  <c r="S106" i="3" a="1"/>
  <c r="S106" i="3" s="1"/>
  <c r="AA104" i="3" a="1"/>
  <c r="AA104" i="3" s="1"/>
  <c r="L108" i="3" a="1"/>
  <c r="L108" i="3" s="1"/>
  <c r="D108" i="3" a="1"/>
  <c r="D108" i="3" s="1"/>
  <c r="F107" i="3" a="1"/>
  <c r="F107" i="3" s="1"/>
  <c r="O107" i="3" a="1"/>
  <c r="O107" i="3" s="1"/>
  <c r="AV97" i="3" a="1"/>
  <c r="AV97" i="3" s="1"/>
  <c r="AA105" i="3" a="1"/>
  <c r="AA105" i="3" s="1"/>
  <c r="AC105" i="3" a="1"/>
  <c r="AC105" i="3" s="1"/>
  <c r="L106" i="3" a="1"/>
  <c r="L106" i="3" s="1"/>
  <c r="Y106" i="3" a="1"/>
  <c r="Y106" i="3" s="1"/>
  <c r="Y104" i="3" a="1"/>
  <c r="Y104" i="3" s="1"/>
  <c r="F104" i="3" a="1"/>
  <c r="F104" i="3" s="1"/>
  <c r="S108" i="3" a="1"/>
  <c r="S108" i="3" s="1"/>
  <c r="L105" i="3" a="1"/>
  <c r="L105" i="3" s="1"/>
  <c r="H106" i="3" a="1"/>
  <c r="H106" i="3" s="1"/>
  <c r="T106" i="3" a="1"/>
  <c r="T106" i="3" s="1"/>
  <c r="O108" i="3" a="1"/>
  <c r="O108" i="3" s="1"/>
  <c r="AC108" i="3" a="1"/>
  <c r="AC108" i="3" s="1"/>
  <c r="T107" i="3" a="1"/>
  <c r="T107" i="3" s="1"/>
  <c r="W107" i="3" a="1"/>
  <c r="W107" i="3" s="1"/>
  <c r="T104" i="3" a="1"/>
  <c r="T104" i="3" s="1"/>
  <c r="AA108" i="3" a="1"/>
  <c r="AA108" i="3" s="1"/>
  <c r="F108" i="3" a="1"/>
  <c r="F108" i="3" s="1"/>
  <c r="D107" i="3" a="1"/>
  <c r="D107" i="3" s="1"/>
  <c r="B107" i="3" a="1"/>
  <c r="B107" i="3" s="1"/>
  <c r="H104" i="3" a="1"/>
  <c r="H104" i="3" s="1"/>
  <c r="H107" i="3" a="1"/>
  <c r="H107" i="3" s="1"/>
  <c r="B106" i="3" a="1"/>
  <c r="B106" i="3" s="1"/>
  <c r="AA107" i="3" a="1"/>
  <c r="AA107" i="3" s="1"/>
  <c r="F106" i="3" a="1"/>
  <c r="F106" i="3" s="1"/>
  <c r="W104" i="3" a="1"/>
  <c r="W104" i="3" s="1"/>
  <c r="AC106" i="3" a="1"/>
  <c r="AC106" i="3" s="1"/>
  <c r="B104" i="3" a="1"/>
  <c r="B104" i="3" s="1"/>
  <c r="Y108" i="3" a="1"/>
  <c r="Y108" i="3" s="1"/>
  <c r="S107" i="3" a="1"/>
  <c r="S107" i="3" s="1"/>
  <c r="L22" i="2"/>
  <c r="W32" i="4"/>
  <c r="W38" i="4" s="1"/>
  <c r="W43" i="4" s="1"/>
  <c r="W44" i="4" s="1"/>
  <c r="BH86" i="3"/>
  <c r="BJ86" i="3" s="1"/>
  <c r="Q86" i="3" s="1"/>
  <c r="S86" i="3"/>
  <c r="DH31" i="3"/>
  <c r="AC97" i="3"/>
  <c r="CG20" i="3"/>
  <c r="CG22" i="3"/>
  <c r="T32" i="4"/>
  <c r="T38" i="4" s="1"/>
  <c r="T43" i="4" s="1"/>
  <c r="CM21" i="3"/>
  <c r="CO21" i="3" s="1"/>
  <c r="AO97" i="3"/>
  <c r="X42" i="3"/>
  <c r="AV113" i="3"/>
  <c r="O47" i="3" s="1"/>
  <c r="AH86" i="3"/>
  <c r="B93" i="3"/>
  <c r="U8" i="3"/>
  <c r="DG66" i="3"/>
  <c r="CX81" i="3"/>
  <c r="CX82" i="3"/>
  <c r="BP86" i="3"/>
  <c r="T86" i="3" s="1"/>
  <c r="AC99" i="3"/>
  <c r="Z86" i="3"/>
  <c r="AN98" i="3"/>
  <c r="AN96" i="3"/>
  <c r="AN97" i="3"/>
  <c r="AN99" i="3"/>
  <c r="AN95" i="3"/>
  <c r="M64" i="5"/>
  <c r="L64" i="5"/>
  <c r="M99" i="5"/>
  <c r="L99" i="5"/>
  <c r="DA36" i="3"/>
  <c r="DA34" i="3"/>
  <c r="DD36" i="3"/>
  <c r="DE34" i="3"/>
  <c r="CZ34" i="3"/>
  <c r="DD34" i="3"/>
  <c r="DD35" i="3"/>
  <c r="DA35" i="3"/>
  <c r="DD33" i="3"/>
  <c r="DE33" i="3"/>
  <c r="DA33" i="3"/>
  <c r="CZ33" i="3"/>
  <c r="M84" i="5"/>
  <c r="L84" i="5"/>
  <c r="L76" i="5"/>
  <c r="M76" i="5"/>
  <c r="L62" i="5"/>
  <c r="M62" i="5"/>
  <c r="AZ55" i="3"/>
  <c r="AG54" i="3"/>
  <c r="AZ65" i="3"/>
  <c r="AI62" i="3"/>
  <c r="AI60" i="3"/>
  <c r="AG62" i="3"/>
  <c r="AG60" i="3"/>
  <c r="AG64" i="3"/>
  <c r="AG53" i="3"/>
  <c r="AZ52" i="3"/>
  <c r="BK30" i="3"/>
  <c r="BN22" i="3"/>
  <c r="BS22" i="3" s="1"/>
  <c r="AI56" i="3"/>
  <c r="AG65" i="3"/>
  <c r="AZ63" i="3"/>
  <c r="AZ62" i="3"/>
  <c r="AG56" i="3"/>
  <c r="CS29" i="3"/>
  <c r="CT29" i="3" s="1"/>
  <c r="AR29" i="3" s="1"/>
  <c r="BN29" i="3"/>
  <c r="BS29" i="3" s="1"/>
  <c r="CS27" i="3"/>
  <c r="CT27" i="3" s="1"/>
  <c r="AR27" i="3" s="1"/>
  <c r="AG58" i="3"/>
  <c r="AG52" i="3"/>
  <c r="AG63" i="3"/>
  <c r="AZ57" i="3"/>
  <c r="BN20" i="3"/>
  <c r="BS20" i="3" s="1"/>
  <c r="AZ58" i="3"/>
  <c r="AZ56" i="3"/>
  <c r="BN27" i="3"/>
  <c r="BS27" i="3" s="1"/>
  <c r="CS21" i="3"/>
  <c r="CT21" i="3" s="1"/>
  <c r="AR21" i="3" s="1"/>
  <c r="BK18" i="3"/>
  <c r="AZ54" i="3"/>
  <c r="BN23" i="3"/>
  <c r="BS23" i="3" s="1"/>
  <c r="BK20" i="3"/>
  <c r="AZ53" i="3"/>
  <c r="BK27" i="3"/>
  <c r="AZ60" i="3"/>
  <c r="AZ59" i="3"/>
  <c r="AG57" i="3"/>
  <c r="AI58" i="3"/>
  <c r="BN25" i="3"/>
  <c r="BS25" i="3" s="1"/>
  <c r="AI59" i="3"/>
  <c r="AG61" i="3"/>
  <c r="BN30" i="3"/>
  <c r="BS30" i="3" s="1"/>
  <c r="BL25" i="3"/>
  <c r="BL30" i="3"/>
  <c r="BK25" i="3"/>
  <c r="CS25" i="3"/>
  <c r="CT25" i="3" s="1"/>
  <c r="AR25" i="3" s="1"/>
  <c r="BN26" i="3"/>
  <c r="BS26" i="3" s="1"/>
  <c r="CS17" i="3"/>
  <c r="CT17" i="3" s="1"/>
  <c r="AR17" i="3" s="1"/>
  <c r="AI54" i="3"/>
  <c r="BN28" i="3"/>
  <c r="BS28" i="3" s="1"/>
  <c r="BN24" i="3"/>
  <c r="BS24" i="3" s="1"/>
  <c r="CS23" i="3"/>
  <c r="CT23" i="3" s="1"/>
  <c r="AR23" i="3" s="1"/>
  <c r="AZ61" i="3"/>
  <c r="CS20" i="3"/>
  <c r="CT20" i="3" s="1"/>
  <c r="AR20" i="3" s="1"/>
  <c r="AZ64" i="3"/>
  <c r="CS22" i="3"/>
  <c r="CT22" i="3" s="1"/>
  <c r="AR22" i="3" s="1"/>
  <c r="AG55" i="3"/>
  <c r="CS24" i="3"/>
  <c r="CT24" i="3" s="1"/>
  <c r="AR24" i="3" s="1"/>
  <c r="BL21" i="3"/>
  <c r="BN31" i="3"/>
  <c r="BK21" i="3"/>
  <c r="BN19" i="3"/>
  <c r="BS19" i="3" s="1"/>
  <c r="CS26" i="3"/>
  <c r="CT26" i="3" s="1"/>
  <c r="AR26" i="3" s="1"/>
  <c r="BN21" i="3"/>
  <c r="BS21" i="3" s="1"/>
  <c r="CS30" i="3"/>
  <c r="CT30" i="3" s="1"/>
  <c r="AR30" i="3" s="1"/>
  <c r="BK28" i="3"/>
  <c r="BN17" i="3"/>
  <c r="BS17" i="3" s="1"/>
  <c r="AG59" i="3"/>
  <c r="BN18" i="3"/>
  <c r="BS18" i="3" s="1"/>
  <c r="BK17" i="3"/>
  <c r="CS19" i="3"/>
  <c r="CT19" i="3" s="1"/>
  <c r="AR19" i="3" s="1"/>
  <c r="BJ8" i="3"/>
  <c r="P6" i="3" s="1"/>
  <c r="AI57" i="3"/>
  <c r="CS28" i="3"/>
  <c r="CT28" i="3" s="1"/>
  <c r="AR28" i="3" s="1"/>
  <c r="BK24" i="3"/>
  <c r="BL24" i="3"/>
  <c r="BK23" i="3"/>
  <c r="BK29" i="3"/>
  <c r="BL22" i="3"/>
  <c r="BK22" i="3"/>
  <c r="BK19" i="3"/>
  <c r="CS18" i="3"/>
  <c r="CT18" i="3" s="1"/>
  <c r="AR18" i="3" s="1"/>
  <c r="BK26" i="3"/>
  <c r="AI61" i="3"/>
  <c r="AI52" i="3"/>
  <c r="BL19" i="3"/>
  <c r="AI53" i="3"/>
  <c r="AI63" i="3"/>
  <c r="AI65" i="3"/>
  <c r="BL26" i="3"/>
  <c r="BL17" i="3"/>
  <c r="BL29" i="3"/>
  <c r="AI55" i="3"/>
  <c r="BL20" i="3"/>
  <c r="BL23" i="3"/>
  <c r="AI64" i="3"/>
  <c r="BL28" i="3"/>
  <c r="BL27" i="3"/>
  <c r="BL18" i="3"/>
  <c r="E44" i="4"/>
  <c r="J2" i="2"/>
  <c r="K2" i="2" s="1"/>
  <c r="Q21" i="2"/>
  <c r="E17" i="4"/>
  <c r="P16" i="2"/>
  <c r="M102" i="5"/>
  <c r="L102" i="5"/>
  <c r="M81" i="5"/>
  <c r="L81" i="5"/>
  <c r="M61" i="5"/>
  <c r="L61" i="5"/>
  <c r="L92" i="5"/>
  <c r="M92" i="5"/>
  <c r="M57" i="5"/>
  <c r="L57" i="5"/>
  <c r="M49" i="5"/>
  <c r="L49" i="5"/>
  <c r="L80" i="5"/>
  <c r="M80" i="5"/>
  <c r="M45" i="5"/>
  <c r="L45" i="5"/>
  <c r="M91" i="5"/>
  <c r="L91" i="5"/>
  <c r="M34" i="5"/>
  <c r="L34" i="5"/>
  <c r="M106" i="5"/>
  <c r="L106" i="5"/>
  <c r="L19" i="2"/>
  <c r="M55" i="5"/>
  <c r="L55" i="5"/>
  <c r="L53" i="5"/>
  <c r="M53" i="5"/>
  <c r="L18" i="2"/>
  <c r="L56" i="5"/>
  <c r="M56" i="5"/>
  <c r="M72" i="5"/>
  <c r="L72" i="5"/>
  <c r="M87" i="5"/>
  <c r="L87" i="5"/>
  <c r="L83" i="5"/>
  <c r="M83" i="5"/>
  <c r="X43" i="3"/>
  <c r="M108" i="5"/>
  <c r="L108" i="5"/>
  <c r="L79" i="5"/>
  <c r="M79" i="5"/>
  <c r="M88" i="5"/>
  <c r="L88" i="5"/>
  <c r="M30" i="5"/>
  <c r="L30" i="5"/>
  <c r="L65" i="5"/>
  <c r="M65" i="5"/>
  <c r="M78" i="5"/>
  <c r="L78" i="5"/>
  <c r="Q44" i="4"/>
  <c r="J12" i="2"/>
  <c r="K12" i="2" s="1"/>
  <c r="M39" i="5"/>
  <c r="L39" i="5"/>
  <c r="M36" i="5"/>
  <c r="L36" i="5"/>
  <c r="M82" i="5"/>
  <c r="L82" i="5"/>
  <c r="BS7" i="3"/>
  <c r="BT8" i="3" s="1"/>
  <c r="M60" i="5"/>
  <c r="L60" i="5"/>
  <c r="L101" i="5"/>
  <c r="M101" i="5"/>
  <c r="X38" i="3"/>
  <c r="X39" i="3"/>
  <c r="X41" i="3"/>
  <c r="X40" i="3"/>
  <c r="AI30" i="3"/>
  <c r="AG94" i="3"/>
  <c r="BT7" i="3"/>
  <c r="AE31" i="3"/>
  <c r="L4" i="2"/>
  <c r="M70" i="5"/>
  <c r="L70" i="5"/>
  <c r="G11" i="3"/>
  <c r="F11" i="3"/>
  <c r="E11" i="3"/>
  <c r="D11" i="3"/>
  <c r="B11" i="3"/>
  <c r="Q11" i="3"/>
  <c r="H11" i="3"/>
  <c r="P11" i="3"/>
  <c r="N11" i="3"/>
  <c r="L11" i="3"/>
  <c r="J11" i="3"/>
  <c r="I11" i="3"/>
  <c r="L107" i="5"/>
  <c r="M107" i="5"/>
  <c r="AJ31" i="3"/>
  <c r="AI31" i="3"/>
  <c r="CR31" i="3"/>
  <c r="CT5" i="3"/>
  <c r="CS5" i="3"/>
  <c r="S22" i="2"/>
  <c r="T21" i="2"/>
  <c r="L59" i="5"/>
  <c r="M59" i="5"/>
  <c r="M103" i="5"/>
  <c r="L103" i="5"/>
  <c r="S90" i="3"/>
  <c r="X44" i="3"/>
  <c r="X46" i="3"/>
  <c r="L89" i="5"/>
  <c r="M89" i="5"/>
  <c r="M31" i="5"/>
  <c r="L31" i="5"/>
  <c r="CV3" i="3"/>
  <c r="CT3" i="3"/>
  <c r="L6" i="3" s="1"/>
  <c r="L38" i="5"/>
  <c r="M38" i="5"/>
  <c r="M94" i="5"/>
  <c r="L94" i="5"/>
  <c r="X45" i="3"/>
  <c r="AU16" i="3"/>
  <c r="AV16" i="3"/>
  <c r="CI22" i="3" a="1"/>
  <c r="BY32" i="3" l="1"/>
  <c r="BY34" i="3"/>
  <c r="AE66" i="3"/>
  <c r="AZ66" i="3" s="1"/>
  <c r="AV86" i="3" s="1"/>
  <c r="BC66" i="3"/>
  <c r="CN31" i="3"/>
  <c r="AV82" i="3"/>
  <c r="BX33" i="3"/>
  <c r="AR33" i="3" s="1"/>
  <c r="CG19" i="3"/>
  <c r="BY33" i="3"/>
  <c r="BM21" i="3"/>
  <c r="AK21" i="3" s="1"/>
  <c r="BM26" i="3"/>
  <c r="AK26" i="3" s="1"/>
  <c r="BY35" i="3"/>
  <c r="CG23" i="3"/>
  <c r="AE109" i="3"/>
  <c r="CO30" i="3"/>
  <c r="CO26" i="3"/>
  <c r="AE112" i="3"/>
  <c r="CO29" i="3"/>
  <c r="AI75" i="3"/>
  <c r="AV78" i="3"/>
  <c r="BM17" i="3"/>
  <c r="AK17" i="3" s="1"/>
  <c r="AI73" i="3"/>
  <c r="BY36" i="3"/>
  <c r="R43" i="3"/>
  <c r="BM29" i="3"/>
  <c r="AK29" i="3" s="1"/>
  <c r="U86" i="3"/>
  <c r="B95" i="3"/>
  <c r="BX34" i="3"/>
  <c r="AR34" i="3" s="1"/>
  <c r="R45" i="3"/>
  <c r="AV76" i="3"/>
  <c r="AV80" i="3"/>
  <c r="BM27" i="3"/>
  <c r="AK27" i="3" s="1"/>
  <c r="BM30" i="3"/>
  <c r="AK30" i="3" s="1"/>
  <c r="AK42" i="3" s="1"/>
  <c r="BM20" i="3"/>
  <c r="AK20" i="3" s="1"/>
  <c r="BM19" i="3"/>
  <c r="AK19" i="3" s="1"/>
  <c r="AX98" i="3"/>
  <c r="AF31" i="3"/>
  <c r="AD31" i="3"/>
  <c r="BM24" i="3"/>
  <c r="AK24" i="3" s="1"/>
  <c r="D9" i="5"/>
  <c r="AI74" i="3"/>
  <c r="CK86" i="3"/>
  <c r="AA86" i="3" s="1"/>
  <c r="C9" i="5"/>
  <c r="BM18" i="3"/>
  <c r="AK18" i="3" s="1"/>
  <c r="C10" i="5"/>
  <c r="AV75" i="3"/>
  <c r="BM25" i="3"/>
  <c r="AK25" i="3" s="1"/>
  <c r="DN51" i="3"/>
  <c r="T16" i="3" s="1"/>
  <c r="CI22" i="3"/>
  <c r="CI27" i="3" s="1"/>
  <c r="CG51" i="3"/>
  <c r="BV16" i="3"/>
  <c r="BX16" i="3" s="1"/>
  <c r="CF71" i="3"/>
  <c r="BY71" i="3"/>
  <c r="AK72" i="3"/>
  <c r="R51" i="3"/>
  <c r="AW51" i="3" s="1"/>
  <c r="DQ51" i="3"/>
  <c r="BE51" i="3"/>
  <c r="BD51" i="3" s="1"/>
  <c r="S52" i="3" s="1"/>
  <c r="F51" i="3"/>
  <c r="Y51" i="3"/>
  <c r="W51" i="3"/>
  <c r="Z51" i="3"/>
  <c r="BN51" i="3"/>
  <c r="AA51" i="3" s="1"/>
  <c r="BV71" i="3"/>
  <c r="AH39" i="3"/>
  <c r="AH40" i="3"/>
  <c r="U51" i="3"/>
  <c r="DH16" i="3"/>
  <c r="AQ51" i="3"/>
  <c r="CO51" i="3"/>
  <c r="BP71" i="3"/>
  <c r="T71" i="3" s="1"/>
  <c r="U71" i="3" s="1"/>
  <c r="D71" i="3"/>
  <c r="AZ72" i="3" s="1"/>
  <c r="AC72" i="3"/>
  <c r="AL71" i="3"/>
  <c r="CB16" i="3"/>
  <c r="AG72" i="3"/>
  <c r="P51" i="3"/>
  <c r="AJ51" i="3"/>
  <c r="AF51" i="3"/>
  <c r="CC51" i="3"/>
  <c r="CK71" i="3"/>
  <c r="AA71" i="3" s="1"/>
  <c r="B71" i="3"/>
  <c r="AP51" i="3"/>
  <c r="AF72" i="3"/>
  <c r="BF16" i="3"/>
  <c r="BG16" i="3" s="1"/>
  <c r="M16" i="3"/>
  <c r="C71" i="3"/>
  <c r="I72" i="3" s="1"/>
  <c r="AO51" i="3"/>
  <c r="AD72" i="3"/>
  <c r="DP51" i="3"/>
  <c r="G16" i="3"/>
  <c r="BW16" i="3"/>
  <c r="DJ51" i="3"/>
  <c r="DK51" i="3" s="1"/>
  <c r="Z71" i="3"/>
  <c r="A71" i="3"/>
  <c r="BB16" i="3"/>
  <c r="A51" i="3"/>
  <c r="E71" i="3"/>
  <c r="J72" i="3" s="1"/>
  <c r="Q16" i="3"/>
  <c r="P16" i="3"/>
  <c r="AE72" i="3"/>
  <c r="AM51" i="3"/>
  <c r="K16" i="3"/>
  <c r="I16" i="3"/>
  <c r="S71" i="3"/>
  <c r="O71" i="3" s="1"/>
  <c r="DG51" i="3"/>
  <c r="BK51" i="3"/>
  <c r="V51" i="3" s="1"/>
  <c r="BQ51" i="3"/>
  <c r="BR51" i="3" s="1"/>
  <c r="M71" i="3" s="1"/>
  <c r="N16" i="3"/>
  <c r="DF51" i="3"/>
  <c r="DR16" i="3"/>
  <c r="AZ51" i="3" s="1"/>
  <c r="AV72" i="3" s="1"/>
  <c r="CY51" i="3"/>
  <c r="CZ51" i="3" s="1"/>
  <c r="Y16" i="3" s="1"/>
  <c r="BH71" i="3"/>
  <c r="BJ71" i="3" s="1"/>
  <c r="Q71" i="3" s="1"/>
  <c r="P71" i="3" s="1"/>
  <c r="AD51" i="3"/>
  <c r="BR16" i="3" s="1"/>
  <c r="CS16" i="3"/>
  <c r="CS51" i="3"/>
  <c r="J51" i="3" s="1"/>
  <c r="M51" i="3" s="1"/>
  <c r="CB71" i="3"/>
  <c r="CR16" i="3"/>
  <c r="BS71" i="3"/>
  <c r="W71" i="3" s="1"/>
  <c r="AX25" i="3"/>
  <c r="AQ25" i="3"/>
  <c r="BZ25" i="3"/>
  <c r="CE25" i="3" s="1"/>
  <c r="BY25" i="3"/>
  <c r="AN25" i="3"/>
  <c r="AP25" i="3"/>
  <c r="AS25" i="3"/>
  <c r="AI78" i="3"/>
  <c r="CU23" i="3"/>
  <c r="CV23" i="3" s="1"/>
  <c r="AH58" i="3" s="1"/>
  <c r="AV83" i="3"/>
  <c r="H43" i="3"/>
  <c r="M105" i="3"/>
  <c r="I33" i="3"/>
  <c r="Q105" i="3" s="1"/>
  <c r="AG108" i="3"/>
  <c r="T46" i="3"/>
  <c r="T44" i="3"/>
  <c r="Z11" i="3"/>
  <c r="AA11" i="3" s="1"/>
  <c r="AG104" i="3"/>
  <c r="T42" i="3"/>
  <c r="Z7" i="3"/>
  <c r="AA7" i="3" s="1"/>
  <c r="DD77" i="3"/>
  <c r="DD72" i="3"/>
  <c r="DG72" i="3"/>
  <c r="J31" i="3"/>
  <c r="CP20" i="3"/>
  <c r="CQ20" i="3" s="1"/>
  <c r="AO20" i="3" s="1"/>
  <c r="AB20" i="3"/>
  <c r="CW31" i="3"/>
  <c r="DB31" i="3" s="1"/>
  <c r="U31" i="3" s="1"/>
  <c r="V31" i="3" s="1"/>
  <c r="AO99" i="3"/>
  <c r="AP99" i="3" s="1"/>
  <c r="S46" i="3"/>
  <c r="S44" i="3"/>
  <c r="X110" i="3"/>
  <c r="AE113" i="3"/>
  <c r="AE111" i="3"/>
  <c r="DD76" i="3"/>
  <c r="DG71" i="3"/>
  <c r="DD71" i="3"/>
  <c r="CS76" i="3"/>
  <c r="CS77" i="3"/>
  <c r="BF31" i="3"/>
  <c r="BG31" i="3" s="1"/>
  <c r="M31" i="3"/>
  <c r="AB24" i="3"/>
  <c r="CP24" i="3"/>
  <c r="CQ24" i="3" s="1"/>
  <c r="AO24" i="3" s="1"/>
  <c r="BM22" i="3"/>
  <c r="AK22" i="3" s="1"/>
  <c r="AV79" i="3"/>
  <c r="R46" i="3"/>
  <c r="R44" i="3"/>
  <c r="X109" i="3"/>
  <c r="BX35" i="3"/>
  <c r="AR35" i="3" s="1"/>
  <c r="AS97" i="3"/>
  <c r="AB34" i="3"/>
  <c r="AB22" i="3"/>
  <c r="CP22" i="3"/>
  <c r="CQ22" i="3" s="1"/>
  <c r="AO22" i="3" s="1"/>
  <c r="CP19" i="3"/>
  <c r="CQ19" i="3" s="1"/>
  <c r="AO19" i="3" s="1"/>
  <c r="AB19" i="3"/>
  <c r="AI76" i="3"/>
  <c r="DC31" i="3"/>
  <c r="C105" i="3"/>
  <c r="B43" i="3"/>
  <c r="Q22" i="2"/>
  <c r="J21" i="2" s="1"/>
  <c r="R21" i="2"/>
  <c r="K21" i="2" s="1"/>
  <c r="AX22" i="3"/>
  <c r="AN22" i="3"/>
  <c r="BZ22" i="3"/>
  <c r="CE22" i="3" s="1"/>
  <c r="BY22" i="3"/>
  <c r="AQ22" i="3"/>
  <c r="AP22" i="3"/>
  <c r="AS22" i="3"/>
  <c r="AY43" i="3"/>
  <c r="AI33" i="3"/>
  <c r="AH33" i="3"/>
  <c r="AZ33" i="3"/>
  <c r="AJ33" i="3"/>
  <c r="AO96" i="3"/>
  <c r="AP96" i="3" s="1"/>
  <c r="S43" i="3"/>
  <c r="AE110" i="3"/>
  <c r="AD34" i="3"/>
  <c r="AF34" i="3"/>
  <c r="DD82" i="3"/>
  <c r="AD10" i="3"/>
  <c r="AK107" i="3"/>
  <c r="L2" i="2"/>
  <c r="AV84" i="3"/>
  <c r="AV73" i="3"/>
  <c r="C108" i="3"/>
  <c r="B46" i="3"/>
  <c r="B44" i="3"/>
  <c r="M106" i="3"/>
  <c r="I34" i="3"/>
  <c r="Q106" i="3" s="1"/>
  <c r="M104" i="3"/>
  <c r="M109" i="3" s="1"/>
  <c r="H42" i="3"/>
  <c r="I32" i="3"/>
  <c r="Q104" i="3" s="1"/>
  <c r="CS72" i="3"/>
  <c r="AM66" i="3"/>
  <c r="K31" i="3"/>
  <c r="I31" i="3"/>
  <c r="CS71" i="3"/>
  <c r="DI21" i="3"/>
  <c r="W21" i="3" s="1"/>
  <c r="DI25" i="3"/>
  <c r="W25" i="3" s="1"/>
  <c r="DI28" i="3"/>
  <c r="W28" i="3" s="1"/>
  <c r="DI31" i="3"/>
  <c r="W31" i="3" s="1"/>
  <c r="DI22" i="3"/>
  <c r="W22" i="3" s="1"/>
  <c r="DI23" i="3"/>
  <c r="W23" i="3" s="1"/>
  <c r="DI30" i="3"/>
  <c r="W30" i="3" s="1"/>
  <c r="DI11" i="3"/>
  <c r="W13" i="3" s="1"/>
  <c r="DI18" i="3"/>
  <c r="W18" i="3" s="1"/>
  <c r="DI26" i="3"/>
  <c r="W26" i="3" s="1"/>
  <c r="DI27" i="3"/>
  <c r="W27" i="3" s="1"/>
  <c r="DI19" i="3"/>
  <c r="W19" i="3" s="1"/>
  <c r="DI29" i="3"/>
  <c r="W29" i="3" s="1"/>
  <c r="DI24" i="3"/>
  <c r="W24" i="3" s="1"/>
  <c r="DI20" i="3"/>
  <c r="W20" i="3" s="1"/>
  <c r="DI17" i="3"/>
  <c r="W17" i="3" s="1"/>
  <c r="DI12" i="3"/>
  <c r="W14" i="3" s="1"/>
  <c r="BM23" i="3"/>
  <c r="AK23" i="3" s="1"/>
  <c r="T45" i="3"/>
  <c r="AG107" i="3"/>
  <c r="Z10" i="3"/>
  <c r="AA10" i="3" s="1"/>
  <c r="X113" i="3"/>
  <c r="X111" i="3"/>
  <c r="X112" i="3"/>
  <c r="AS91" i="3"/>
  <c r="CP27" i="3"/>
  <c r="CQ27" i="3" s="1"/>
  <c r="AO27" i="3" s="1"/>
  <c r="AB27" i="3"/>
  <c r="CP18" i="3"/>
  <c r="CQ18" i="3" s="1"/>
  <c r="AO18" i="3" s="1"/>
  <c r="AB18" i="3"/>
  <c r="AN23" i="3"/>
  <c r="BZ23" i="3"/>
  <c r="CE23" i="3" s="1"/>
  <c r="BY23" i="3"/>
  <c r="AP23" i="3"/>
  <c r="AX23" i="3"/>
  <c r="AQ23" i="3"/>
  <c r="AS23" i="3"/>
  <c r="AD36" i="3"/>
  <c r="AE46" i="3"/>
  <c r="AE44" i="3"/>
  <c r="AF36" i="3"/>
  <c r="AK106" i="3"/>
  <c r="AD9" i="3"/>
  <c r="AF33" i="3"/>
  <c r="AD33" i="3"/>
  <c r="AE43" i="3"/>
  <c r="AS94" i="3"/>
  <c r="AA38" i="3"/>
  <c r="AA39" i="3"/>
  <c r="AA41" i="3"/>
  <c r="AA40" i="3"/>
  <c r="AB30" i="3"/>
  <c r="CP30" i="3"/>
  <c r="AV81" i="3"/>
  <c r="AV74" i="3"/>
  <c r="C104" i="3"/>
  <c r="B42" i="3"/>
  <c r="BX31" i="3"/>
  <c r="BW31" i="3"/>
  <c r="CP81" i="3"/>
  <c r="CP82" i="3"/>
  <c r="G31" i="3"/>
  <c r="DP66" i="3"/>
  <c r="AS92" i="3"/>
  <c r="AB28" i="3"/>
  <c r="CP28" i="3"/>
  <c r="CQ28" i="3" s="1"/>
  <c r="AO28" i="3" s="1"/>
  <c r="AB26" i="3"/>
  <c r="AS90" i="3"/>
  <c r="CP26" i="3"/>
  <c r="AI84" i="3"/>
  <c r="CU29" i="3"/>
  <c r="CV29" i="3" s="1"/>
  <c r="AH64" i="3" s="1"/>
  <c r="AI77" i="3"/>
  <c r="CU22" i="3"/>
  <c r="CV22" i="3" s="1"/>
  <c r="AH57" i="3" s="1"/>
  <c r="BY24" i="3"/>
  <c r="AQ24" i="3"/>
  <c r="AP24" i="3"/>
  <c r="AN24" i="3"/>
  <c r="BZ24" i="3"/>
  <c r="CE24" i="3" s="1"/>
  <c r="AX24" i="3"/>
  <c r="AS24" i="3"/>
  <c r="AB109" i="3"/>
  <c r="G112" i="3"/>
  <c r="AH36" i="3"/>
  <c r="AZ36" i="3"/>
  <c r="AJ36" i="3"/>
  <c r="BD90" i="3" s="1"/>
  <c r="J95" i="3" s="1"/>
  <c r="AI36" i="3"/>
  <c r="AY46" i="3"/>
  <c r="AY44" i="3"/>
  <c r="CY82" i="3"/>
  <c r="AU86" i="3"/>
  <c r="R86" i="3"/>
  <c r="Y86" i="3" s="1"/>
  <c r="CY81" i="3"/>
  <c r="N86" i="3"/>
  <c r="DB36" i="3"/>
  <c r="U36" i="3" s="1"/>
  <c r="DB34" i="3"/>
  <c r="U34" i="3" s="1"/>
  <c r="V34" i="3" s="1"/>
  <c r="DB32" i="3"/>
  <c r="U32" i="3" s="1"/>
  <c r="DB27" i="3"/>
  <c r="U27" i="3" s="1"/>
  <c r="V27" i="3" s="1"/>
  <c r="DB26" i="3"/>
  <c r="U26" i="3" s="1"/>
  <c r="V26" i="3" s="1"/>
  <c r="DB17" i="3"/>
  <c r="U17" i="3" s="1"/>
  <c r="V17" i="3" s="1"/>
  <c r="DB19" i="3"/>
  <c r="U19" i="3" s="1"/>
  <c r="V19" i="3" s="1"/>
  <c r="DB28" i="3"/>
  <c r="U28" i="3" s="1"/>
  <c r="V28" i="3" s="1"/>
  <c r="DB25" i="3"/>
  <c r="U25" i="3" s="1"/>
  <c r="V25" i="3" s="1"/>
  <c r="DB29" i="3"/>
  <c r="U29" i="3" s="1"/>
  <c r="V29" i="3" s="1"/>
  <c r="DB35" i="3"/>
  <c r="U35" i="3" s="1"/>
  <c r="DB23" i="3"/>
  <c r="U23" i="3" s="1"/>
  <c r="V23" i="3" s="1"/>
  <c r="DB22" i="3"/>
  <c r="U22" i="3" s="1"/>
  <c r="V22" i="3" s="1"/>
  <c r="DB30" i="3"/>
  <c r="U30" i="3" s="1"/>
  <c r="DB11" i="3"/>
  <c r="U13" i="3" s="1"/>
  <c r="DB20" i="3"/>
  <c r="U20" i="3" s="1"/>
  <c r="V20" i="3" s="1"/>
  <c r="DB24" i="3"/>
  <c r="U24" i="3" s="1"/>
  <c r="V24" i="3" s="1"/>
  <c r="DB21" i="3"/>
  <c r="U21" i="3" s="1"/>
  <c r="V21" i="3" s="1"/>
  <c r="DB33" i="3"/>
  <c r="U33" i="3" s="1"/>
  <c r="DB18" i="3"/>
  <c r="U18" i="3" s="1"/>
  <c r="V18" i="3" s="1"/>
  <c r="DB12" i="3"/>
  <c r="U14" i="3" s="1"/>
  <c r="AR92" i="3"/>
  <c r="AN28" i="3"/>
  <c r="BY28" i="3"/>
  <c r="BZ28" i="3"/>
  <c r="CE28" i="3" s="1"/>
  <c r="AQ28" i="3"/>
  <c r="AP28" i="3"/>
  <c r="AX28" i="3"/>
  <c r="AS28" i="3"/>
  <c r="AQ27" i="3"/>
  <c r="BZ27" i="3"/>
  <c r="CE27" i="3" s="1"/>
  <c r="BY27" i="3"/>
  <c r="AN27" i="3"/>
  <c r="AX27" i="3"/>
  <c r="AP27" i="3"/>
  <c r="AR91" i="3"/>
  <c r="AS27" i="3"/>
  <c r="N31" i="3"/>
  <c r="BQ66" i="3"/>
  <c r="BR66" i="3" s="1"/>
  <c r="M86" i="3" s="1"/>
  <c r="CU25" i="3"/>
  <c r="CV25" i="3" s="1"/>
  <c r="AH60" i="3" s="1"/>
  <c r="AI80" i="3"/>
  <c r="AG105" i="3"/>
  <c r="T43" i="3"/>
  <c r="Z8" i="3"/>
  <c r="AA8" i="3" s="1"/>
  <c r="AP107" i="3"/>
  <c r="AC45" i="3"/>
  <c r="AF10" i="3"/>
  <c r="AG10" i="3" s="1"/>
  <c r="AS98" i="3"/>
  <c r="AA45" i="3"/>
  <c r="AB35" i="3"/>
  <c r="AO98" i="3"/>
  <c r="AP98" i="3" s="1"/>
  <c r="S45" i="3"/>
  <c r="DL77" i="3"/>
  <c r="DO77" i="3" s="1"/>
  <c r="DK77" i="3"/>
  <c r="DN77" i="3" s="1"/>
  <c r="CU27" i="3"/>
  <c r="CV27" i="3" s="1"/>
  <c r="AH62" i="3" s="1"/>
  <c r="AI82" i="3"/>
  <c r="AQ18" i="3"/>
  <c r="AP18" i="3"/>
  <c r="AN18" i="3"/>
  <c r="BY18" i="3"/>
  <c r="BZ18" i="3"/>
  <c r="CE18" i="3" s="1"/>
  <c r="AX18" i="3"/>
  <c r="AS18" i="3"/>
  <c r="AQ20" i="3"/>
  <c r="AP20" i="3"/>
  <c r="AN20" i="3"/>
  <c r="BY20" i="3"/>
  <c r="BZ20" i="3"/>
  <c r="CE20" i="3" s="1"/>
  <c r="AX20" i="3"/>
  <c r="AS20" i="3"/>
  <c r="AV85" i="3"/>
  <c r="AP106" i="3"/>
  <c r="AF9" i="3"/>
  <c r="AG9" i="3" s="1"/>
  <c r="CN84" i="3"/>
  <c r="CN86" i="3" s="1"/>
  <c r="CN69" i="3" s="1"/>
  <c r="E93" i="3" s="1"/>
  <c r="M107" i="3"/>
  <c r="I35" i="3"/>
  <c r="Q107" i="3" s="1"/>
  <c r="H45" i="3"/>
  <c r="AB36" i="3"/>
  <c r="AA44" i="3"/>
  <c r="AS99" i="3"/>
  <c r="AA46" i="3"/>
  <c r="BY66" i="3"/>
  <c r="CP71" i="3"/>
  <c r="CP72" i="3"/>
  <c r="AP97" i="3"/>
  <c r="D10" i="5"/>
  <c r="AR90" i="3"/>
  <c r="AN26" i="3"/>
  <c r="BZ26" i="3"/>
  <c r="CE26" i="3" s="1"/>
  <c r="BY26" i="3"/>
  <c r="AP26" i="3"/>
  <c r="AX26" i="3"/>
  <c r="AQ26" i="3"/>
  <c r="AS26" i="3"/>
  <c r="AV77" i="3"/>
  <c r="AP104" i="3"/>
  <c r="AP109" i="3" s="1"/>
  <c r="AF7" i="3"/>
  <c r="AG7" i="3" s="1"/>
  <c r="AC42" i="3"/>
  <c r="M108" i="3"/>
  <c r="I36" i="3"/>
  <c r="Q108" i="3" s="1"/>
  <c r="H46" i="3"/>
  <c r="H44" i="3"/>
  <c r="E91" i="3" s="1"/>
  <c r="AD32" i="3"/>
  <c r="AE42" i="3"/>
  <c r="AF32" i="3"/>
  <c r="AB112" i="3"/>
  <c r="DK76" i="3"/>
  <c r="DN76" i="3" s="1"/>
  <c r="DL76" i="3"/>
  <c r="DO76" i="3" s="1"/>
  <c r="AB25" i="3"/>
  <c r="CP25" i="3"/>
  <c r="CQ25" i="3" s="1"/>
  <c r="AO25" i="3" s="1"/>
  <c r="G109" i="3"/>
  <c r="AY45" i="3"/>
  <c r="AJ35" i="3"/>
  <c r="AI35" i="3"/>
  <c r="AH35" i="3"/>
  <c r="AZ35" i="3"/>
  <c r="AB32" i="3"/>
  <c r="AS95" i="3"/>
  <c r="AA42" i="3"/>
  <c r="P86" i="3"/>
  <c r="Q31" i="3"/>
  <c r="P31" i="3"/>
  <c r="AS93" i="3"/>
  <c r="AB29" i="3"/>
  <c r="CP29" i="3"/>
  <c r="BX32" i="3"/>
  <c r="AR32" i="3" s="1"/>
  <c r="AR42" i="3" s="1"/>
  <c r="L12" i="2"/>
  <c r="AI91" i="3"/>
  <c r="AI89" i="3"/>
  <c r="AI90" i="3"/>
  <c r="AI85" i="3"/>
  <c r="AI88" i="3"/>
  <c r="CU30" i="3"/>
  <c r="CV30" i="3" s="1"/>
  <c r="AH65" i="3" s="1"/>
  <c r="AI83" i="3"/>
  <c r="CU28" i="3"/>
  <c r="CV28" i="3" s="1"/>
  <c r="AH63" i="3" s="1"/>
  <c r="BM28" i="3"/>
  <c r="AK28" i="3" s="1"/>
  <c r="AS96" i="3"/>
  <c r="AA43" i="3"/>
  <c r="AB33" i="3"/>
  <c r="G110" i="3"/>
  <c r="AB110" i="3"/>
  <c r="C107" i="3"/>
  <c r="B45" i="3"/>
  <c r="AV98" i="3"/>
  <c r="AG106" i="3"/>
  <c r="Z9" i="3"/>
  <c r="AA9" i="3" s="1"/>
  <c r="AK105" i="3"/>
  <c r="AD8" i="3"/>
  <c r="CS81" i="3"/>
  <c r="CS82" i="3"/>
  <c r="AK86" i="3"/>
  <c r="CB31" i="3"/>
  <c r="O86" i="3"/>
  <c r="CP21" i="3"/>
  <c r="CQ21" i="3" s="1"/>
  <c r="AO21" i="3" s="1"/>
  <c r="AB21" i="3"/>
  <c r="AF35" i="3"/>
  <c r="AE45" i="3"/>
  <c r="AD35" i="3"/>
  <c r="AK94" i="3"/>
  <c r="AI94" i="3"/>
  <c r="BZ17" i="3"/>
  <c r="CE17" i="3" s="1"/>
  <c r="AN17" i="3"/>
  <c r="BY17" i="3"/>
  <c r="AP17" i="3"/>
  <c r="AX17" i="3"/>
  <c r="AQ17" i="3"/>
  <c r="AS17" i="3"/>
  <c r="BZ21" i="3"/>
  <c r="CE21" i="3" s="1"/>
  <c r="AN21" i="3"/>
  <c r="BY21" i="3"/>
  <c r="AX21" i="3"/>
  <c r="AQ21" i="3"/>
  <c r="AP21" i="3"/>
  <c r="AS21" i="3"/>
  <c r="BZ30" i="3"/>
  <c r="CE30" i="3" s="1"/>
  <c r="AN30" i="3"/>
  <c r="AQ30" i="3"/>
  <c r="AP30" i="3"/>
  <c r="AR94" i="3"/>
  <c r="AX30" i="3"/>
  <c r="BY30" i="3"/>
  <c r="AS30" i="3"/>
  <c r="AR93" i="3"/>
  <c r="AN29" i="3"/>
  <c r="BZ29" i="3"/>
  <c r="CE29" i="3" s="1"/>
  <c r="BY29" i="3"/>
  <c r="AX29" i="3"/>
  <c r="AP29" i="3"/>
  <c r="AQ29" i="3"/>
  <c r="AS29" i="3"/>
  <c r="G111" i="3"/>
  <c r="G113" i="3"/>
  <c r="AJ34" i="3"/>
  <c r="AZ34" i="3"/>
  <c r="AH34" i="3"/>
  <c r="AI34" i="3"/>
  <c r="DH66" i="3"/>
  <c r="AB17" i="3"/>
  <c r="CP17" i="3"/>
  <c r="CQ17" i="3" s="1"/>
  <c r="AO17" i="3" s="1"/>
  <c r="AP105" i="3"/>
  <c r="AC43" i="3"/>
  <c r="AF8" i="3"/>
  <c r="AG8" i="3" s="1"/>
  <c r="AK104" i="3"/>
  <c r="AD7" i="3"/>
  <c r="S42" i="3"/>
  <c r="AO95" i="3"/>
  <c r="AP95" i="3" s="1"/>
  <c r="AK108" i="3"/>
  <c r="AD11" i="3"/>
  <c r="AB113" i="3"/>
  <c r="AB111" i="3"/>
  <c r="AY42" i="3"/>
  <c r="AI32" i="3"/>
  <c r="AI42" i="3" s="1"/>
  <c r="AZ32" i="3"/>
  <c r="AJ32" i="3"/>
  <c r="AJ42" i="3" s="1"/>
  <c r="AH32" i="3"/>
  <c r="AH42" i="3" s="1"/>
  <c r="AI81" i="3"/>
  <c r="CU26" i="3"/>
  <c r="CV26" i="3" s="1"/>
  <c r="AH61" i="3" s="1"/>
  <c r="AQ19" i="3"/>
  <c r="AP19" i="3"/>
  <c r="BZ19" i="3"/>
  <c r="CE19" i="3" s="1"/>
  <c r="AN19" i="3"/>
  <c r="BY19" i="3"/>
  <c r="AX19" i="3"/>
  <c r="AS19" i="3"/>
  <c r="AI79" i="3"/>
  <c r="CU24" i="3"/>
  <c r="CV24" i="3" s="1"/>
  <c r="AH59" i="3" s="1"/>
  <c r="L42" i="3"/>
  <c r="P42" i="3" s="1"/>
  <c r="BX36" i="3"/>
  <c r="AR36" i="3" s="1"/>
  <c r="BS86" i="3"/>
  <c r="W86" i="3" s="1"/>
  <c r="X86" i="3" s="1"/>
  <c r="AB23" i="3"/>
  <c r="CP23" i="3"/>
  <c r="CQ23" i="3" s="1"/>
  <c r="AO23" i="3" s="1"/>
  <c r="AP108" i="3"/>
  <c r="AC44" i="3"/>
  <c r="AC46" i="3"/>
  <c r="AF11" i="3"/>
  <c r="AG11" i="3" s="1"/>
  <c r="DD81" i="3"/>
  <c r="CP77" i="3"/>
  <c r="CP76" i="3"/>
  <c r="CI20" i="3" a="1"/>
  <c r="CK20" i="3" a="1"/>
  <c r="CK22" i="3" a="1"/>
  <c r="DJ16" i="3" l="1" a="1"/>
  <c r="DJ16" i="3" s="1"/>
  <c r="AC16" i="3" a="1"/>
  <c r="AC16" i="3" s="1"/>
  <c r="CW16" i="3" a="1"/>
  <c r="CW16" i="3" s="1"/>
  <c r="CN16" i="3" a="1"/>
  <c r="CN16" i="3" s="1"/>
  <c r="DC16" i="3" a="1"/>
  <c r="DC16" i="3" s="1"/>
  <c r="CL16" i="3" a="1"/>
  <c r="CL16" i="3" s="1"/>
  <c r="AA16" i="3" a="1"/>
  <c r="AA16" i="3" s="1"/>
  <c r="AP110" i="3"/>
  <c r="AC86" i="3"/>
  <c r="AL25" i="3"/>
  <c r="X51" i="3"/>
  <c r="DO51" i="3"/>
  <c r="CQ30" i="3"/>
  <c r="AO30" i="3" s="1"/>
  <c r="BG66" i="3"/>
  <c r="CL31" i="3"/>
  <c r="CM31" i="3" s="1"/>
  <c r="CO31" i="3" s="1"/>
  <c r="AL66" i="3"/>
  <c r="CY76" i="3"/>
  <c r="AL21" i="3"/>
  <c r="CK22" i="3"/>
  <c r="CK27" i="3" s="1"/>
  <c r="CK20" i="3"/>
  <c r="CI20" i="3"/>
  <c r="AL19" i="3"/>
  <c r="CG24" i="3"/>
  <c r="CQ29" i="3"/>
  <c r="AO29" i="3" s="1"/>
  <c r="AJ86" i="3"/>
  <c r="CQ26" i="3"/>
  <c r="AO26" i="3" s="1"/>
  <c r="E89" i="3"/>
  <c r="AK44" i="3"/>
  <c r="AI51" i="3"/>
  <c r="AI72" i="3" s="1"/>
  <c r="DT51" i="3"/>
  <c r="DU51" i="3" s="1"/>
  <c r="G51" i="3" s="1"/>
  <c r="Q51" i="3"/>
  <c r="G71" i="3" s="1"/>
  <c r="L72" i="3" s="1"/>
  <c r="O51" i="3"/>
  <c r="F71" i="3" s="1"/>
  <c r="K72" i="3" s="1"/>
  <c r="AG51" i="3"/>
  <c r="AG86" i="3"/>
  <c r="CT53" i="3"/>
  <c r="CP66" i="3" s="1"/>
  <c r="D66" i="3"/>
  <c r="AH45" i="3"/>
  <c r="AL29" i="3"/>
  <c r="AL28" i="3"/>
  <c r="C11" i="5"/>
  <c r="D15" i="5" s="1"/>
  <c r="L66" i="3"/>
  <c r="CT61" i="3"/>
  <c r="CR66" i="3" s="1"/>
  <c r="AL18" i="3"/>
  <c r="BL91" i="3"/>
  <c r="BL90" i="3"/>
  <c r="E94" i="3" s="1"/>
  <c r="T11" i="3" s="1"/>
  <c r="DG73" i="3"/>
  <c r="AL86" i="3"/>
  <c r="F93" i="3"/>
  <c r="AE86" i="3"/>
  <c r="BA35" i="3"/>
  <c r="AG35" i="3" s="1"/>
  <c r="BS35" i="3"/>
  <c r="F95" i="3"/>
  <c r="G95" i="3" s="1"/>
  <c r="H95" i="3" s="1"/>
  <c r="G93" i="3"/>
  <c r="DD78" i="3"/>
  <c r="AY66" i="3"/>
  <c r="BF66" i="3"/>
  <c r="G94" i="3"/>
  <c r="BA34" i="3"/>
  <c r="AG34" i="3" s="1"/>
  <c r="BS34" i="3"/>
  <c r="E66" i="3"/>
  <c r="BA36" i="3"/>
  <c r="AG36" i="3" s="1"/>
  <c r="AG44" i="3" s="1"/>
  <c r="BS36" i="3"/>
  <c r="B66" i="3"/>
  <c r="W66" i="3" s="1"/>
  <c r="F94" i="3"/>
  <c r="T66" i="3"/>
  <c r="AQ66" i="3" s="1"/>
  <c r="BA32" i="3"/>
  <c r="AG32" i="3" s="1"/>
  <c r="AG42" i="3" s="1"/>
  <c r="BS32" i="3"/>
  <c r="BA33" i="3"/>
  <c r="AG33" i="3" s="1"/>
  <c r="BS33" i="3"/>
  <c r="BO16" i="3"/>
  <c r="AP112" i="3"/>
  <c r="AX51" i="3"/>
  <c r="AU66" i="3"/>
  <c r="K66" i="3"/>
  <c r="DD83" i="3"/>
  <c r="C66" i="3"/>
  <c r="AR45" i="3"/>
  <c r="AY98" i="3"/>
  <c r="CZ77" i="3"/>
  <c r="DA77" i="3" s="1"/>
  <c r="AH43" i="3"/>
  <c r="AR43" i="3"/>
  <c r="CT57" i="3"/>
  <c r="CQ66" i="3" s="1"/>
  <c r="AC66" i="3"/>
  <c r="AD66" i="3" s="1"/>
  <c r="BR31" i="3" s="1"/>
  <c r="L44" i="3"/>
  <c r="P44" i="3"/>
  <c r="L43" i="3"/>
  <c r="P45" i="3"/>
  <c r="L46" i="3"/>
  <c r="L45" i="3"/>
  <c r="L47" i="3"/>
  <c r="P46" i="3"/>
  <c r="BY51" i="3"/>
  <c r="BD16" i="3"/>
  <c r="BK16" i="3" s="1"/>
  <c r="S16" i="3"/>
  <c r="EA17" i="3" s="1"/>
  <c r="EB18" i="3" s="1"/>
  <c r="DO78" i="3"/>
  <c r="V35" i="3"/>
  <c r="U45" i="3"/>
  <c r="AH46" i="3"/>
  <c r="AH44" i="3"/>
  <c r="CA16" i="3"/>
  <c r="CC16" i="3" s="1"/>
  <c r="CD16" i="3" s="1"/>
  <c r="BJ16" i="3"/>
  <c r="V32" i="3"/>
  <c r="U42" i="3"/>
  <c r="AP111" i="3"/>
  <c r="AP113" i="3"/>
  <c r="AP42" i="3"/>
  <c r="AP44" i="3"/>
  <c r="BL93" i="3"/>
  <c r="AL20" i="3"/>
  <c r="AL27" i="3"/>
  <c r="AR46" i="3"/>
  <c r="AR44" i="3"/>
  <c r="AL23" i="3"/>
  <c r="AK110" i="3"/>
  <c r="AE8" i="3"/>
  <c r="AN105" i="3"/>
  <c r="CC71" i="3"/>
  <c r="CG71" i="3" s="1"/>
  <c r="V71" i="3" s="1"/>
  <c r="AI45" i="3"/>
  <c r="E90" i="3"/>
  <c r="AB86" i="3"/>
  <c r="BL92" i="3"/>
  <c r="C110" i="3"/>
  <c r="AU71" i="3"/>
  <c r="R71" i="3"/>
  <c r="AJ72" i="3"/>
  <c r="N71" i="3"/>
  <c r="AR51" i="3"/>
  <c r="AB66" i="3"/>
  <c r="AJ45" i="3"/>
  <c r="AE9" i="3"/>
  <c r="AN106" i="3"/>
  <c r="AF86" i="3"/>
  <c r="DV65" i="3"/>
  <c r="BM66" i="3" s="1"/>
  <c r="AM31" i="3" s="1"/>
  <c r="CY77" i="3"/>
  <c r="BI66" i="3"/>
  <c r="M111" i="3"/>
  <c r="M113" i="3"/>
  <c r="AG110" i="3"/>
  <c r="AG109" i="3"/>
  <c r="AV51" i="3"/>
  <c r="AN51" i="3"/>
  <c r="AK51" i="3"/>
  <c r="AK112" i="3"/>
  <c r="AN107" i="3"/>
  <c r="AE10" i="3"/>
  <c r="DN78" i="3"/>
  <c r="DV53" i="3"/>
  <c r="DR66" i="3" s="1"/>
  <c r="DH51" i="3"/>
  <c r="Z16" i="3"/>
  <c r="U46" i="3"/>
  <c r="U44" i="3"/>
  <c r="V36" i="3"/>
  <c r="AD86" i="3"/>
  <c r="AJ43" i="3"/>
  <c r="DD73" i="3"/>
  <c r="BP16" i="3"/>
  <c r="BH66" i="3"/>
  <c r="M110" i="3"/>
  <c r="N66" i="3"/>
  <c r="H66" i="3"/>
  <c r="E86" i="3" s="1"/>
  <c r="AG113" i="3"/>
  <c r="AG111" i="3"/>
  <c r="AI43" i="3"/>
  <c r="C113" i="3"/>
  <c r="C111" i="3"/>
  <c r="V33" i="3"/>
  <c r="U43" i="3"/>
  <c r="AL17" i="3"/>
  <c r="C112" i="3"/>
  <c r="C109" i="3"/>
  <c r="AL22" i="3"/>
  <c r="M112" i="3"/>
  <c r="I66" i="3"/>
  <c r="BL94" i="3"/>
  <c r="W38" i="3"/>
  <c r="W39" i="3"/>
  <c r="W41" i="3"/>
  <c r="W40" i="3"/>
  <c r="CA31" i="3"/>
  <c r="CC31" i="3" s="1"/>
  <c r="CD31" i="3" s="1"/>
  <c r="BJ31" i="3"/>
  <c r="BL31" i="3" s="1"/>
  <c r="CT16" i="3"/>
  <c r="AR16" i="3" s="1"/>
  <c r="CV16" i="3"/>
  <c r="AH51" i="3" s="1"/>
  <c r="BL66" i="3"/>
  <c r="S111" i="3"/>
  <c r="S109" i="3"/>
  <c r="T109" i="3"/>
  <c r="T111" i="3"/>
  <c r="DV57" i="3"/>
  <c r="DS66" i="3" s="1"/>
  <c r="AK113" i="3"/>
  <c r="AK111" i="3"/>
  <c r="AN108" i="3"/>
  <c r="AE11" i="3"/>
  <c r="AK109" i="3"/>
  <c r="AN104" i="3"/>
  <c r="AE7" i="3"/>
  <c r="AL26" i="3"/>
  <c r="CZ76" i="3"/>
  <c r="DA76" i="3" s="1"/>
  <c r="DV61" i="3"/>
  <c r="BJ66" i="3" s="1"/>
  <c r="H71" i="3"/>
  <c r="H72" i="3"/>
  <c r="AL24" i="3"/>
  <c r="U38" i="3"/>
  <c r="V30" i="3"/>
  <c r="U39" i="3"/>
  <c r="U41" i="3"/>
  <c r="U40" i="3"/>
  <c r="AI46" i="3"/>
  <c r="AI44" i="3"/>
  <c r="AG112" i="3"/>
  <c r="AL30" i="3"/>
  <c r="AJ44" i="3"/>
  <c r="AJ46" i="3"/>
  <c r="L21" i="2"/>
  <c r="AD16" i="3"/>
  <c r="AL8" i="3"/>
  <c r="AL9" i="3" s="1"/>
  <c r="AH72" i="3"/>
  <c r="D104" i="3" a="1"/>
  <c r="AL104" i="3" a="1"/>
  <c r="CK23" i="3" a="1"/>
  <c r="CI23" i="3" a="1"/>
  <c r="J86" i="3" l="1"/>
  <c r="R66" i="3"/>
  <c r="AW66" i="3" s="1"/>
  <c r="Y66" i="3"/>
  <c r="AR71" i="3"/>
  <c r="AG43" i="3"/>
  <c r="AQ71" i="3"/>
  <c r="E92" i="3"/>
  <c r="AO71" i="3"/>
  <c r="CM16" i="3"/>
  <c r="CO16" i="3" s="1"/>
  <c r="CI23" i="3"/>
  <c r="CK23" i="3"/>
  <c r="AJ16" i="3"/>
  <c r="E107" i="3"/>
  <c r="E108" i="3"/>
  <c r="Y110" i="3"/>
  <c r="T110" i="3"/>
  <c r="Y109" i="3"/>
  <c r="AC111" i="3"/>
  <c r="AA109" i="3"/>
  <c r="AJ112" i="3"/>
  <c r="AH111" i="3"/>
  <c r="AC112" i="3"/>
  <c r="Z106" i="3"/>
  <c r="AF111" i="3"/>
  <c r="Y111" i="3"/>
  <c r="DF34" i="3"/>
  <c r="DI34" i="3" s="1"/>
  <c r="W34" i="3" s="1"/>
  <c r="N106" i="3" s="1"/>
  <c r="P106" i="3" s="1"/>
  <c r="Z107" i="3"/>
  <c r="AD105" i="3"/>
  <c r="AM106" i="3"/>
  <c r="F36" i="3"/>
  <c r="W113" i="3"/>
  <c r="AM107" i="3"/>
  <c r="W112" i="3"/>
  <c r="O109" i="3"/>
  <c r="E106" i="3"/>
  <c r="Y10" i="3"/>
  <c r="S112" i="3"/>
  <c r="AM108" i="3"/>
  <c r="AI105" i="3"/>
  <c r="AD106" i="3"/>
  <c r="V107" i="3"/>
  <c r="E105" i="3"/>
  <c r="W109" i="3"/>
  <c r="AM105" i="3"/>
  <c r="CG25" i="3"/>
  <c r="CS66" i="3"/>
  <c r="J66" i="3" s="1"/>
  <c r="M66" i="3" s="1"/>
  <c r="AG45" i="3"/>
  <c r="C12" i="5"/>
  <c r="J23" i="2" s="1"/>
  <c r="K23" i="2" s="1"/>
  <c r="D104" i="3"/>
  <c r="D109" i="3" s="1"/>
  <c r="H109" i="3"/>
  <c r="AJ109" i="3"/>
  <c r="AH110" i="3"/>
  <c r="AL104" i="3"/>
  <c r="AL109" i="3" s="1"/>
  <c r="AF109" i="3"/>
  <c r="AC113" i="3"/>
  <c r="I105" i="3"/>
  <c r="AS71" i="3"/>
  <c r="AO66" i="3"/>
  <c r="D86" i="3"/>
  <c r="AZ86" i="3" s="1"/>
  <c r="C86" i="3"/>
  <c r="I86" i="3" s="1"/>
  <c r="U66" i="3"/>
  <c r="AW71" i="3"/>
  <c r="AP66" i="3"/>
  <c r="O90" i="3" s="1"/>
  <c r="B86" i="3"/>
  <c r="H86" i="3" s="1"/>
  <c r="CS31" i="3"/>
  <c r="CT31" i="3" s="1"/>
  <c r="AR31" i="3" s="1" a="1"/>
  <c r="BK31" i="3"/>
  <c r="BM31" i="3" s="1"/>
  <c r="AK31" i="3" s="1"/>
  <c r="G96" i="3"/>
  <c r="F96" i="3"/>
  <c r="AJ110" i="3"/>
  <c r="AH109" i="3"/>
  <c r="B109" i="3"/>
  <c r="AJ113" i="3"/>
  <c r="AO34" i="3"/>
  <c r="AX34" i="3"/>
  <c r="AN34" i="3"/>
  <c r="AS34" i="3"/>
  <c r="AQ34" i="3"/>
  <c r="AS35" i="3"/>
  <c r="AQ35" i="3"/>
  <c r="AO35" i="3"/>
  <c r="AX35" i="3"/>
  <c r="AN35" i="3"/>
  <c r="DQ66" i="3"/>
  <c r="AG46" i="3"/>
  <c r="H93" i="3"/>
  <c r="BL16" i="3"/>
  <c r="BM16" i="3" s="1"/>
  <c r="AK16" i="3" s="1"/>
  <c r="AK39" i="3" s="1"/>
  <c r="BN16" i="3"/>
  <c r="BS16" i="3" s="1"/>
  <c r="AN16" i="3" s="1"/>
  <c r="AS32" i="3"/>
  <c r="AS42" i="3" s="1"/>
  <c r="AN32" i="3"/>
  <c r="AN42" i="3" s="1"/>
  <c r="AO32" i="3"/>
  <c r="AO42" i="3" s="1"/>
  <c r="AQ32" i="3"/>
  <c r="AQ42" i="3" s="1"/>
  <c r="AX32" i="3"/>
  <c r="AX42" i="3" s="1"/>
  <c r="BE66" i="3"/>
  <c r="BD66" i="3" s="1"/>
  <c r="S66" i="3" s="1"/>
  <c r="AX33" i="3"/>
  <c r="AO33" i="3"/>
  <c r="AQ33" i="3"/>
  <c r="AQ43" i="3" s="1"/>
  <c r="AN33" i="3"/>
  <c r="AS33" i="3"/>
  <c r="F66" i="3"/>
  <c r="AS36" i="3"/>
  <c r="AX36" i="3"/>
  <c r="AO36" i="3"/>
  <c r="AN36" i="3"/>
  <c r="AQ36" i="3"/>
  <c r="H94" i="3"/>
  <c r="DN16" i="3"/>
  <c r="X16" i="3" s="1"/>
  <c r="AI16" i="3" s="1"/>
  <c r="DB16" i="3"/>
  <c r="U16" i="3" s="1"/>
  <c r="V16" i="3" s="1"/>
  <c r="DI16" i="3"/>
  <c r="W16" i="3" s="1"/>
  <c r="X71" i="3"/>
  <c r="Y71" i="3"/>
  <c r="E96" i="3"/>
  <c r="BK66" i="3"/>
  <c r="V66" i="3" s="1"/>
  <c r="P43" i="3"/>
  <c r="AW113" i="3"/>
  <c r="P47" i="3" s="1"/>
  <c r="V11" i="3"/>
  <c r="AX92" i="3" s="1"/>
  <c r="N96" i="3" s="1"/>
  <c r="Z66" i="3"/>
  <c r="BN66" i="3"/>
  <c r="AR40" i="3"/>
  <c r="AR39" i="3"/>
  <c r="AF66" i="3"/>
  <c r="AI66" i="3" s="1"/>
  <c r="AJ66" i="3"/>
  <c r="O91" i="3" s="1"/>
  <c r="P66" i="3"/>
  <c r="DO66" i="3" s="1"/>
  <c r="O66" i="3"/>
  <c r="Q66" i="3"/>
  <c r="U11" i="3"/>
  <c r="DT66" i="3"/>
  <c r="DU66" i="3" s="1"/>
  <c r="G66" i="3" s="1"/>
  <c r="AX43" i="3" l="1"/>
  <c r="U104" i="3"/>
  <c r="AR31" i="3"/>
  <c r="S110" i="3"/>
  <c r="BP31" i="3"/>
  <c r="AS16" i="3"/>
  <c r="AS40" i="3" s="1"/>
  <c r="K107" i="3"/>
  <c r="H111" i="3"/>
  <c r="AD104" i="3"/>
  <c r="CY36" i="3"/>
  <c r="R107" i="3"/>
  <c r="O110" i="3"/>
  <c r="X8" i="3"/>
  <c r="AD108" i="3"/>
  <c r="AF112" i="3"/>
  <c r="V106" i="3"/>
  <c r="AR66" i="3"/>
  <c r="AP16" i="3"/>
  <c r="AP39" i="3" s="1"/>
  <c r="L23" i="2"/>
  <c r="CJ27" i="3"/>
  <c r="CK28" i="3" s="1"/>
  <c r="AI107" i="3"/>
  <c r="AB7" i="3"/>
  <c r="AB10" i="3" s="1"/>
  <c r="CH27" i="3"/>
  <c r="CI28" i="3" s="1"/>
  <c r="AM104" i="3"/>
  <c r="DK32" i="3"/>
  <c r="CG26" i="3"/>
  <c r="AO104" i="3"/>
  <c r="AC7" i="3" s="1"/>
  <c r="AO43" i="3"/>
  <c r="Z108" i="3"/>
  <c r="AA66" i="3"/>
  <c r="AK66" i="3" s="1"/>
  <c r="X66" i="3"/>
  <c r="AG66" i="3"/>
  <c r="BZ16" i="3"/>
  <c r="CE16" i="3" s="1"/>
  <c r="BY16" i="3"/>
  <c r="AD107" i="3"/>
  <c r="K106" i="3"/>
  <c r="E104" i="3"/>
  <c r="AC110" i="3"/>
  <c r="AF110" i="3"/>
  <c r="V104" i="3"/>
  <c r="I104" i="3"/>
  <c r="F32" i="3"/>
  <c r="AX16" i="3"/>
  <c r="AX39" i="3" s="1"/>
  <c r="K104" i="3"/>
  <c r="V105" i="3"/>
  <c r="AK40" i="3"/>
  <c r="AL113" i="3"/>
  <c r="AL111" i="3"/>
  <c r="W111" i="3"/>
  <c r="R106" i="3"/>
  <c r="AO106" i="3"/>
  <c r="AC9" i="3" s="1"/>
  <c r="AB9" i="3"/>
  <c r="U108" i="3"/>
  <c r="U105" i="3"/>
  <c r="DF33" i="3"/>
  <c r="DI33" i="3" s="1"/>
  <c r="W33" i="3" s="1"/>
  <c r="N105" i="3" s="1"/>
  <c r="CY34" i="3"/>
  <c r="V108" i="3"/>
  <c r="DK34" i="3"/>
  <c r="Z104" i="3"/>
  <c r="AC109" i="3"/>
  <c r="I108" i="3"/>
  <c r="AS43" i="3"/>
  <c r="AA113" i="3"/>
  <c r="R108" i="3"/>
  <c r="I106" i="3"/>
  <c r="F34" i="3"/>
  <c r="G34" i="3" s="1"/>
  <c r="J106" i="3" s="1"/>
  <c r="AN43" i="3"/>
  <c r="AH113" i="3"/>
  <c r="AS46" i="3"/>
  <c r="AS44" i="3"/>
  <c r="Y11" i="3"/>
  <c r="K105" i="3"/>
  <c r="DF32" i="3"/>
  <c r="DI32" i="3" s="1"/>
  <c r="W32" i="3" s="1"/>
  <c r="N104" i="3" s="1"/>
  <c r="Y112" i="3"/>
  <c r="H110" i="3"/>
  <c r="R105" i="3"/>
  <c r="DK35" i="3"/>
  <c r="T112" i="3"/>
  <c r="AL112" i="3"/>
  <c r="CY32" i="3"/>
  <c r="AA111" i="3"/>
  <c r="U106" i="3"/>
  <c r="AO105" i="3"/>
  <c r="AC8" i="3" s="1"/>
  <c r="DF36" i="3"/>
  <c r="DI36" i="3" s="1"/>
  <c r="W36" i="3" s="1"/>
  <c r="N108" i="3" s="1"/>
  <c r="AB8" i="3"/>
  <c r="AF113" i="3"/>
  <c r="AH112" i="3"/>
  <c r="Z105" i="3"/>
  <c r="DF35" i="3"/>
  <c r="DI35" i="3" s="1"/>
  <c r="W35" i="3" s="1"/>
  <c r="N107" i="3" s="1"/>
  <c r="W110" i="3"/>
  <c r="CY33" i="3"/>
  <c r="R104" i="3"/>
  <c r="AO107" i="3"/>
  <c r="AC10" i="3" s="1"/>
  <c r="U107" i="3"/>
  <c r="AJ111" i="3"/>
  <c r="B110" i="3"/>
  <c r="Y113" i="3"/>
  <c r="AI40" i="3"/>
  <c r="AI39" i="3"/>
  <c r="DK33" i="3"/>
  <c r="D110" i="3"/>
  <c r="D112" i="3"/>
  <c r="K108" i="3"/>
  <c r="AN45" i="3"/>
  <c r="AA112" i="3"/>
  <c r="F33" i="3"/>
  <c r="T113" i="3"/>
  <c r="AI104" i="3"/>
  <c r="AL110" i="3"/>
  <c r="I107" i="3"/>
  <c r="CY35" i="3"/>
  <c r="H113" i="3"/>
  <c r="AQ44" i="3"/>
  <c r="AQ46" i="3"/>
  <c r="AX45" i="3"/>
  <c r="AI108" i="3"/>
  <c r="X9" i="3"/>
  <c r="Y9" i="3" s="1"/>
  <c r="AI106" i="3"/>
  <c r="D113" i="3"/>
  <c r="D111" i="3"/>
  <c r="AQ16" i="3"/>
  <c r="AM16" i="3"/>
  <c r="F35" i="3"/>
  <c r="AL35" i="3" s="1"/>
  <c r="AN46" i="3"/>
  <c r="AN44" i="3"/>
  <c r="AO45" i="3"/>
  <c r="AA110" i="3"/>
  <c r="X7" i="3"/>
  <c r="X10" i="3" s="1"/>
  <c r="H112" i="3"/>
  <c r="AO108" i="3"/>
  <c r="AC11" i="3" s="1"/>
  <c r="S113" i="3"/>
  <c r="AO46" i="3"/>
  <c r="AO44" i="3"/>
  <c r="AQ45" i="3"/>
  <c r="DK36" i="3"/>
  <c r="AX44" i="3"/>
  <c r="AX46" i="3"/>
  <c r="AS45" i="3"/>
  <c r="DB77" i="3"/>
  <c r="CU31" i="3"/>
  <c r="CV31" i="3" s="1"/>
  <c r="AH66" i="3" s="1" a="1"/>
  <c r="DB76" i="3"/>
  <c r="F42" i="3"/>
  <c r="G32" i="3"/>
  <c r="J104" i="3" s="1"/>
  <c r="AL32" i="3"/>
  <c r="AL42" i="3" s="1"/>
  <c r="AB16" i="3"/>
  <c r="CP16" i="3"/>
  <c r="CQ16" i="3" s="1"/>
  <c r="AO16" i="3" s="1"/>
  <c r="AN39" i="3"/>
  <c r="AN40" i="3"/>
  <c r="AJ40" i="3"/>
  <c r="AJ39" i="3"/>
  <c r="AX91" i="3"/>
  <c r="N95" i="3" s="1"/>
  <c r="H96" i="3"/>
  <c r="AR86" i="3"/>
  <c r="AO86" i="3"/>
  <c r="AS86" i="3"/>
  <c r="G86" i="3"/>
  <c r="L86" i="3" s="1"/>
  <c r="BO31" i="3"/>
  <c r="BS31" i="3" s="1"/>
  <c r="BY31" i="3" s="1"/>
  <c r="AX66" i="3"/>
  <c r="Y8" i="3"/>
  <c r="AW86" i="3"/>
  <c r="AQ86" i="3"/>
  <c r="F86" i="3"/>
  <c r="K86" i="3" s="1"/>
  <c r="G36" i="3"/>
  <c r="J108" i="3" s="1"/>
  <c r="F44" i="3"/>
  <c r="AL36" i="3"/>
  <c r="AI86" i="3" l="1"/>
  <c r="AS39" i="3"/>
  <c r="AL16" i="3"/>
  <c r="AL40" i="3" s="1"/>
  <c r="AH66" i="3"/>
  <c r="AB11" i="3"/>
  <c r="AP40" i="3"/>
  <c r="AA31" i="3"/>
  <c r="AB31" i="3" s="1"/>
  <c r="CP31" i="3"/>
  <c r="CQ31" i="3" s="1"/>
  <c r="AO31" i="3" s="1"/>
  <c r="AV66" i="3"/>
  <c r="AN66" i="3"/>
  <c r="AX40" i="3"/>
  <c r="F43" i="3"/>
  <c r="X11" i="3"/>
  <c r="W42" i="3"/>
  <c r="W44" i="3"/>
  <c r="W46" i="3"/>
  <c r="W43" i="3"/>
  <c r="AL34" i="3"/>
  <c r="W45" i="3"/>
  <c r="F46" i="3"/>
  <c r="F45" i="3"/>
  <c r="G33" i="3"/>
  <c r="J105" i="3" s="1"/>
  <c r="AM40" i="3"/>
  <c r="AM39" i="3"/>
  <c r="AL33" i="3"/>
  <c r="AL43" i="3" s="1"/>
  <c r="Y7" i="3"/>
  <c r="G35" i="3"/>
  <c r="J107" i="3" s="1"/>
  <c r="AQ39" i="3"/>
  <c r="AQ40" i="3"/>
  <c r="P104" i="3"/>
  <c r="N109" i="3"/>
  <c r="AL44" i="3"/>
  <c r="AX31" i="3"/>
  <c r="BZ31" i="3"/>
  <c r="CE31" i="3" s="1"/>
  <c r="AL31" i="3" s="1"/>
  <c r="AN31" i="3"/>
  <c r="U7" i="3"/>
  <c r="AP31" i="3"/>
  <c r="AQ31" i="3"/>
  <c r="AS31" i="3"/>
  <c r="N111" i="3"/>
  <c r="N113" i="3"/>
  <c r="P108" i="3"/>
  <c r="AO39" i="3"/>
  <c r="AO40" i="3"/>
  <c r="AL45" i="3"/>
  <c r="T45" i="4"/>
  <c r="T44" i="4" s="1"/>
  <c r="J10" i="2"/>
  <c r="K10" i="2" s="1"/>
  <c r="P107" i="3"/>
  <c r="N112" i="3"/>
  <c r="N110" i="3"/>
  <c r="P105" i="3"/>
  <c r="AL39" i="3" l="1"/>
  <c r="AL46" i="3"/>
  <c r="L10" i="2"/>
  <c r="L32" i="2" l="1"/>
  <c r="N32" i="2" s="1"/>
  <c r="L34" i="2"/>
  <c r="N34" i="2" s="1"/>
  <c r="N36" i="2" l="1"/>
  <c r="AH139" i="1" l="1"/>
  <c r="AI139" i="1" s="1"/>
  <c r="AH110" i="1" l="1"/>
  <c r="AI110" i="1" s="1"/>
  <c r="AH106" i="1"/>
  <c r="AI106" i="1" s="1"/>
  <c r="AH107" i="1"/>
  <c r="AI107" i="1" s="1"/>
  <c r="AH111" i="1" l="1"/>
  <c r="AI111" i="1" s="1"/>
  <c r="AH69" i="1" l="1"/>
  <c r="AI69" i="1" s="1"/>
  <c r="Q8" i="1" s="1"/>
  <c r="AX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 Green</author>
  </authors>
  <commentList>
    <comment ref="BJ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Rob Green:
Change this cell for historic dupont</t>
        </r>
      </text>
    </comment>
    <comment ref="BS8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Rob Green:
Iserr = true</t>
        </r>
      </text>
    </comment>
    <comment ref="F32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Rob Green:
BEST Estimates</t>
        </r>
      </text>
    </comment>
    <comment ref="U48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Rob Green:
CL - payables and ST debt</t>
        </r>
      </text>
    </comment>
    <comment ref="BC66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Rob Green:
Tricky one.  If it is 0 it just means there isn't data.  Need to be 0 for net debt to work.</t>
        </r>
      </text>
    </comment>
    <comment ref="Q68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Rob Green:
Highlighted if OCF/NI is greater than 2</t>
        </r>
      </text>
    </comment>
    <comment ref="V68" authorId="0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Rob Green:
Includes cash for acquisitions AND divestitures and JVs/Assocs.</t>
        </r>
      </text>
    </comment>
    <comment ref="S91" authorId="0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Rob Green:
Pension over/under funded status.  + = overfund, - = underfunded.</t>
        </r>
      </text>
    </comment>
    <comment ref="S92" authorId="0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Rob Green:
Pension funding ratio</t>
        </r>
      </text>
    </comment>
    <comment ref="V93" authorId="0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 xml:space="preserve">Rob Green:
If highlighted the auditor may have been changed within the last two years.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 Green</author>
  </authors>
  <commentList>
    <comment ref="Q1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Rob Green:
Earnings Surprise and Indsider Buys are Bloomberg based.  These won't work for Factset only users.</t>
        </r>
      </text>
    </comment>
    <comment ref="U3" authorId="0" shapeId="0" xr:uid="{00000000-0006-0000-0400-000002000000}">
      <text>
        <r>
          <rPr>
            <sz val="11"/>
            <color theme="1"/>
            <rFont val="Calibri"/>
            <family val="2"/>
            <scheme val="minor"/>
          </rPr>
          <t>Rob Green:
Use for financial companies: banks, insurance, and real estate.</t>
        </r>
      </text>
    </comment>
    <comment ref="Y10" authorId="0" shapeId="0" xr:uid="{00000000-0006-0000-0400-000003000000}">
      <text>
        <r>
          <rPr>
            <sz val="11"/>
            <color theme="1"/>
            <rFont val="Calibri"/>
            <family val="2"/>
            <scheme val="minor"/>
          </rPr>
          <t>Rob Green:
Rev turn gets extra weight in average</t>
        </r>
      </text>
    </comment>
  </commentList>
</comments>
</file>

<file path=xl/sharedStrings.xml><?xml version="1.0" encoding="utf-8"?>
<sst xmlns="http://schemas.openxmlformats.org/spreadsheetml/2006/main" count="3383" uniqueCount="1709">
  <si>
    <t>CS_23</t>
  </si>
  <si>
    <t>PA</t>
  </si>
  <si>
    <t>SA</t>
  </si>
  <si>
    <t>Updated</t>
  </si>
  <si>
    <t>QUALITY RATING</t>
  </si>
  <si>
    <t>HISTORIC 1PAGER</t>
  </si>
  <si>
    <t>Offering</t>
  </si>
  <si>
    <t>PROFITABILITY PROFILE</t>
  </si>
  <si>
    <t>GROWTH PROFILE</t>
  </si>
  <si>
    <t>Comparables</t>
  </si>
  <si>
    <t>Profit</t>
  </si>
  <si>
    <t>B/S</t>
  </si>
  <si>
    <t>Differentiation</t>
  </si>
  <si>
    <t>Robustness</t>
  </si>
  <si>
    <t>Rev Rec</t>
  </si>
  <si>
    <t>Simplicity</t>
  </si>
  <si>
    <t>Record</t>
  </si>
  <si>
    <t>Oversight</t>
  </si>
  <si>
    <t>Env Justice</t>
  </si>
  <si>
    <t>Concentration</t>
  </si>
  <si>
    <t>Market</t>
  </si>
  <si>
    <t>Issue</t>
  </si>
  <si>
    <t>Competitors</t>
  </si>
  <si>
    <t>Growth</t>
  </si>
  <si>
    <t>C/F</t>
  </si>
  <si>
    <t>Cost</t>
  </si>
  <si>
    <t>Longevity</t>
  </si>
  <si>
    <t>Cycle</t>
  </si>
  <si>
    <t>Ind Pedigree</t>
  </si>
  <si>
    <t>Credibility</t>
  </si>
  <si>
    <t>Transparency</t>
  </si>
  <si>
    <t>Soc Justice</t>
  </si>
  <si>
    <t>Reg Sensitivity</t>
  </si>
  <si>
    <t>Structure</t>
  </si>
  <si>
    <t>Suppliers</t>
  </si>
  <si>
    <t>Customers</t>
  </si>
  <si>
    <t>Relevance</t>
  </si>
  <si>
    <t>BALANCE SHEET</t>
  </si>
  <si>
    <t>CASH FLOW</t>
  </si>
  <si>
    <t>Segment</t>
  </si>
  <si>
    <t>indrct1</t>
  </si>
  <si>
    <t>indrct2</t>
  </si>
  <si>
    <t>indrct3</t>
  </si>
  <si>
    <t>indrct4</t>
  </si>
  <si>
    <t>indrct5</t>
  </si>
  <si>
    <t>indrct6</t>
  </si>
  <si>
    <t>indrct7</t>
  </si>
  <si>
    <t>indrct8</t>
  </si>
  <si>
    <t>indrct9</t>
  </si>
  <si>
    <t>indrct10</t>
  </si>
  <si>
    <t>indrct11</t>
  </si>
  <si>
    <t>indrct12</t>
  </si>
  <si>
    <t>indrct13</t>
  </si>
  <si>
    <t>indrct14</t>
  </si>
  <si>
    <t>Section1</t>
  </si>
  <si>
    <t>Name</t>
  </si>
  <si>
    <t>b6</t>
  </si>
  <si>
    <t>c6</t>
  </si>
  <si>
    <t>b13</t>
  </si>
  <si>
    <t>c13</t>
  </si>
  <si>
    <t>b20</t>
  </si>
  <si>
    <t>c20</t>
  </si>
  <si>
    <t>b27</t>
  </si>
  <si>
    <t>c27</t>
  </si>
  <si>
    <t>b34</t>
  </si>
  <si>
    <t>c34</t>
  </si>
  <si>
    <t>B41</t>
  </si>
  <si>
    <t>c41</t>
  </si>
  <si>
    <t>b48</t>
  </si>
  <si>
    <t>c48</t>
  </si>
  <si>
    <t>The company is not a financial institution.</t>
  </si>
  <si>
    <t>HISTORY</t>
  </si>
  <si>
    <t>c7</t>
  </si>
  <si>
    <t>c14</t>
  </si>
  <si>
    <t>c21</t>
  </si>
  <si>
    <t>c28</t>
  </si>
  <si>
    <t>c35</t>
  </si>
  <si>
    <t>c42</t>
  </si>
  <si>
    <t>c49</t>
  </si>
  <si>
    <t>The company has incurred significant asset write-downs over recent history.</t>
  </si>
  <si>
    <t>c8</t>
  </si>
  <si>
    <t>c15</t>
  </si>
  <si>
    <t>c22</t>
  </si>
  <si>
    <t>c29</t>
  </si>
  <si>
    <t>c36</t>
  </si>
  <si>
    <t>c43</t>
  </si>
  <si>
    <t>c50</t>
  </si>
  <si>
    <t>c9</t>
  </si>
  <si>
    <t>c16</t>
  </si>
  <si>
    <t>c23</t>
  </si>
  <si>
    <t>c30</t>
  </si>
  <si>
    <t>c37</t>
  </si>
  <si>
    <t>c44</t>
  </si>
  <si>
    <t>c51</t>
  </si>
  <si>
    <t>COMPETITIVE ADVANTAGE</t>
  </si>
  <si>
    <t>ADVANTAGE EVIDENCE</t>
  </si>
  <si>
    <t>c11</t>
  </si>
  <si>
    <t>c18</t>
  </si>
  <si>
    <t>c25</t>
  </si>
  <si>
    <t>c32</t>
  </si>
  <si>
    <t>c39</t>
  </si>
  <si>
    <t>c46</t>
  </si>
  <si>
    <t>c53</t>
  </si>
  <si>
    <t>The company does not benefit from self-reinforcing network effects.</t>
  </si>
  <si>
    <t>Section2</t>
  </si>
  <si>
    <t>The company benefits from high switching  costs.</t>
  </si>
  <si>
    <t>The company's market share trajectory is strong.</t>
  </si>
  <si>
    <t>The company benefits from high entry barriers.</t>
  </si>
  <si>
    <t>The company's customer churn rate is strong.</t>
  </si>
  <si>
    <t>GROWTH HEADROOOM</t>
  </si>
  <si>
    <t>PICKS SHOVELS</t>
  </si>
  <si>
    <t>The company's TAM is large.</t>
  </si>
  <si>
    <t>The company's customers are other companies.</t>
  </si>
  <si>
    <t>Section3</t>
  </si>
  <si>
    <t>The company's market share is low.</t>
  </si>
  <si>
    <t>The company's products represent support products (i.e., tools).</t>
  </si>
  <si>
    <t>Output</t>
  </si>
  <si>
    <t>The company's industry is small relative to its TAM.</t>
  </si>
  <si>
    <t>The company's market is growing through a structural transition.</t>
  </si>
  <si>
    <t>FIELD</t>
  </si>
  <si>
    <t>DISPLAY</t>
  </si>
  <si>
    <t>SCORE</t>
  </si>
  <si>
    <t>TYPE</t>
  </si>
  <si>
    <t>ISSUE</t>
  </si>
  <si>
    <t>CLEANUP</t>
  </si>
  <si>
    <t>DISPLAY1</t>
  </si>
  <si>
    <t>OUTPUT</t>
  </si>
  <si>
    <t>REVENUE PREDICTABILITY</t>
  </si>
  <si>
    <t>CYCLE SENSITIVITY</t>
  </si>
  <si>
    <t>Dupont</t>
  </si>
  <si>
    <t>Secondary</t>
  </si>
  <si>
    <t>•</t>
  </si>
  <si>
    <t>□</t>
  </si>
  <si>
    <t>‒</t>
  </si>
  <si>
    <t>The company's customers transact regularly.</t>
  </si>
  <si>
    <t>The company's products are more staple than discretionary.</t>
  </si>
  <si>
    <t>ProfitT</t>
  </si>
  <si>
    <t>Profitability</t>
  </si>
  <si>
    <t>Tertiary</t>
  </si>
  <si>
    <t>The company's revenue visibility is strong.</t>
  </si>
  <si>
    <t>The company's customers are cycle-resilient.</t>
  </si>
  <si>
    <t>Profit1</t>
  </si>
  <si>
    <t>The company's revenues do not contractually recur.</t>
  </si>
  <si>
    <t>The company's ticket-sizes are not large.</t>
  </si>
  <si>
    <t>Profit2</t>
  </si>
  <si>
    <t>Profit3</t>
  </si>
  <si>
    <t>CYCLE EXPOSURE</t>
  </si>
  <si>
    <t>MODEL PEDIGREE</t>
  </si>
  <si>
    <t>Growth1</t>
  </si>
  <si>
    <t>The company is distinctly vulnerable to commodity cycles.</t>
  </si>
  <si>
    <t>The company's model pedigree is not exotic or novel.</t>
  </si>
  <si>
    <t>Growth2</t>
  </si>
  <si>
    <t>The company is distinctly vulnerable to financial cycles.</t>
  </si>
  <si>
    <t>Growth3</t>
  </si>
  <si>
    <t>The company is vulnerable to a currency mismatch.</t>
  </si>
  <si>
    <t>Durability</t>
  </si>
  <si>
    <t>BST</t>
  </si>
  <si>
    <t>Balance Sheet</t>
  </si>
  <si>
    <t>MANAGEMENT QUALITY</t>
  </si>
  <si>
    <t>CAPITAL ALLOCATION</t>
  </si>
  <si>
    <t>BS2</t>
  </si>
  <si>
    <t>The company's strategy is highly focused.</t>
  </si>
  <si>
    <t>BS3</t>
  </si>
  <si>
    <t>CFT</t>
  </si>
  <si>
    <t>Cash Flow</t>
  </si>
  <si>
    <t>CF1</t>
  </si>
  <si>
    <t>CF2</t>
  </si>
  <si>
    <t>SHAREHOLDER PROTECTION</t>
  </si>
  <si>
    <t>EXPLOITATION RISK</t>
  </si>
  <si>
    <t>Advantage</t>
  </si>
  <si>
    <t>The company has significant related party exposures.</t>
  </si>
  <si>
    <t>The company's environmental impact is significantly negative.</t>
  </si>
  <si>
    <t>DifferentT</t>
  </si>
  <si>
    <t>The company's internal controls are weak.</t>
  </si>
  <si>
    <t>The company's exposure to worker exploitation is not high.</t>
  </si>
  <si>
    <t>Different1</t>
  </si>
  <si>
    <t>The company's alignment with shareholders is weak.</t>
  </si>
  <si>
    <t>The risk that the company has bad actors is not high.</t>
  </si>
  <si>
    <t>Different2</t>
  </si>
  <si>
    <t>Different3</t>
  </si>
  <si>
    <t>COUNTERPARTY CONCENTRATION</t>
  </si>
  <si>
    <t>EXPOSURE CONCENTRATION</t>
  </si>
  <si>
    <t>Cost1</t>
  </si>
  <si>
    <t>Cost Position</t>
  </si>
  <si>
    <t>The company's customer concentration is high.</t>
  </si>
  <si>
    <t>The company's technology concentration is high.</t>
  </si>
  <si>
    <t>Cost2</t>
  </si>
  <si>
    <t>The company's supplier concentration is high.</t>
  </si>
  <si>
    <t>The company's product concentration is high.</t>
  </si>
  <si>
    <t>Cost3</t>
  </si>
  <si>
    <t>The company's distributor concentration is high.</t>
  </si>
  <si>
    <t>The company's transaction concentration is not high.</t>
  </si>
  <si>
    <t>Headroom</t>
  </si>
  <si>
    <t>RobustnessT</t>
  </si>
  <si>
    <t>TECHNOLOGY RISK</t>
  </si>
  <si>
    <t>GOVERNMENT RISK</t>
  </si>
  <si>
    <t>Robustness2</t>
  </si>
  <si>
    <t>The company is effectively on an R&amp;D treadmill.</t>
  </si>
  <si>
    <t>The company's exposure to geopolitical conflict is not high.</t>
  </si>
  <si>
    <t>Robustness3</t>
  </si>
  <si>
    <t>The company does not generate revenue from a time &amp; materials model.</t>
  </si>
  <si>
    <t>The company's exposure to government interference is high.</t>
  </si>
  <si>
    <t>LongevityT</t>
  </si>
  <si>
    <t>The company is not at a disadvantage from technological progress.</t>
  </si>
  <si>
    <t>Longevity1</t>
  </si>
  <si>
    <t>Longevity2</t>
  </si>
  <si>
    <t>Y</t>
  </si>
  <si>
    <t>N</t>
  </si>
  <si>
    <t>QUESTION</t>
  </si>
  <si>
    <t>Y/N</t>
  </si>
  <si>
    <t>#</t>
  </si>
  <si>
    <t>Longevity3</t>
  </si>
  <si>
    <t>ANSWER</t>
  </si>
  <si>
    <t>"Y" ANSWER EXPRESSION</t>
  </si>
  <si>
    <t>"N" ANSWER EXPRESSION</t>
  </si>
  <si>
    <t>ncroa</t>
  </si>
  <si>
    <t>Is the company's non-cash ROA profile strong?</t>
  </si>
  <si>
    <t>Consistency</t>
  </si>
  <si>
    <t>The company's non-cash ROA profile is strong.</t>
  </si>
  <si>
    <t>The company's non-cash ROA profile is not strong.</t>
  </si>
  <si>
    <t>gpm</t>
  </si>
  <si>
    <t>Is the company's gross margin profile strong?</t>
  </si>
  <si>
    <t>RevRecT</t>
  </si>
  <si>
    <t>Recurrence</t>
  </si>
  <si>
    <t>The company's gross margin profile is strong.</t>
  </si>
  <si>
    <t>The company's gross margin profile is not strong.</t>
  </si>
  <si>
    <t>opm</t>
  </si>
  <si>
    <t>Is the company's operating margin profile strong?</t>
  </si>
  <si>
    <t>RevRec1</t>
  </si>
  <si>
    <t>The company's operating margin profile is strong.</t>
  </si>
  <si>
    <t>The company's operating margin profile is not strong.</t>
  </si>
  <si>
    <t>3y</t>
  </si>
  <si>
    <t>Is the company's three-year revenue CAGR strong?</t>
  </si>
  <si>
    <t>The company's three-year revenue CAGR is strong.</t>
  </si>
  <si>
    <t>The company's three-year revenue CAGR is not strong.</t>
  </si>
  <si>
    <t>5y</t>
  </si>
  <si>
    <t>Is the company's five-year revenue CAGR strong?</t>
  </si>
  <si>
    <t>The company's five-year revenue CAGR is strong.</t>
  </si>
  <si>
    <t>The company's five-year revenue CAGR is not strong.</t>
  </si>
  <si>
    <t>10y</t>
  </si>
  <si>
    <t>Is the company's ten-year revenue CAGR strong?</t>
  </si>
  <si>
    <t>The company's ten-year revenue CAGR is strong.</t>
  </si>
  <si>
    <t>The company's ten-year revenue CAGR is not strong.</t>
  </si>
  <si>
    <t>net cash</t>
  </si>
  <si>
    <t>Is the company's balance sheet in a net debt position?</t>
  </si>
  <si>
    <t>The company's balance sheet is in a net debt position.</t>
  </si>
  <si>
    <t>The company's balance sheet is not in a net debt position.</t>
  </si>
  <si>
    <t>financial institution</t>
  </si>
  <si>
    <t>Is the company a financial institution?</t>
  </si>
  <si>
    <t>The company is a financial institution.</t>
  </si>
  <si>
    <t>capital impairment</t>
  </si>
  <si>
    <t>Has the company incurred significant asset write-downs over recent history?</t>
  </si>
  <si>
    <t>The company has not incurred significant asset write-downs over recent history.</t>
  </si>
  <si>
    <t>cash conversion</t>
  </si>
  <si>
    <t>Is the company's cash flow conversion profile strong?</t>
  </si>
  <si>
    <t>The company's cash flow conversion profile is strong.</t>
  </si>
  <si>
    <t>The company's cash flow conversion profile is not strong.</t>
  </si>
  <si>
    <t>inventory management</t>
  </si>
  <si>
    <t>Is the company's inventory management profile strong?</t>
  </si>
  <si>
    <t>The company's inventory management profile is strong.</t>
  </si>
  <si>
    <t>The company's inventory management profile is not strong.</t>
  </si>
  <si>
    <t>capex intensity</t>
  </si>
  <si>
    <t>Is the company's capex intensity high?</t>
  </si>
  <si>
    <t>The company's capex intensity is high.</t>
  </si>
  <si>
    <t>The company's capex intensity is not high.</t>
  </si>
  <si>
    <t>network effects</t>
  </si>
  <si>
    <t>Does the company benefit from self-reinforcing network effects?</t>
  </si>
  <si>
    <t>The company benefits from self-reinforcing network effects.</t>
  </si>
  <si>
    <t>switching costs</t>
  </si>
  <si>
    <t>Does the company benefit from high switching costs?</t>
  </si>
  <si>
    <t>The company does not benefit from high switching costs.</t>
  </si>
  <si>
    <t>entry barriers</t>
  </si>
  <si>
    <t>Does the company benefit from high entry barriers?</t>
  </si>
  <si>
    <t>The company does not benefit from high entry barriers.</t>
  </si>
  <si>
    <t>gross margin trend</t>
  </si>
  <si>
    <t>Is the company's gross margin trend strong?</t>
  </si>
  <si>
    <t>The company's gross margin trend is strong.</t>
  </si>
  <si>
    <t>The company's gross margin trend is not strong.</t>
  </si>
  <si>
    <t>market share trend</t>
  </si>
  <si>
    <t>Is the company's market share trajectory strong (i.e., stable or rising)?</t>
  </si>
  <si>
    <t>The company's market share trajectory is not strong.</t>
  </si>
  <si>
    <t>churn rate (level + trend)</t>
  </si>
  <si>
    <t>Is the company's customer churn rate low (and stable or falling)?</t>
  </si>
  <si>
    <t>The company's customer churn rate is not strong.</t>
  </si>
  <si>
    <t>tam size</t>
  </si>
  <si>
    <t>Is the company's TAM large?</t>
  </si>
  <si>
    <t>The company's TAM is not large.</t>
  </si>
  <si>
    <t>company penetration</t>
  </si>
  <si>
    <t>Is the company's market share low (i.e., with a lot of scope to rise over time)?</t>
  </si>
  <si>
    <t>The company's market share is not low.</t>
  </si>
  <si>
    <t>industry penetration</t>
  </si>
  <si>
    <t>Is the company's industry small versus its TAM (i.e., is it a structurally growing industry)?</t>
  </si>
  <si>
    <t>b2b</t>
  </si>
  <si>
    <t>Is the company (exclusively or at least primarily) a B2B company?</t>
  </si>
  <si>
    <t>The company's customers are not other companies.</t>
  </si>
  <si>
    <t>support service/product</t>
  </si>
  <si>
    <t>Do the company's products (services) represent support products (services)?</t>
  </si>
  <si>
    <t>structural growth market</t>
  </si>
  <si>
    <t>Is the company's market growing through any sort of structural transition?</t>
  </si>
  <si>
    <t>transacting regularly</t>
  </si>
  <si>
    <t>Do the company's customers transact regularly?</t>
  </si>
  <si>
    <t>The company's customers do not transact regularly.</t>
  </si>
  <si>
    <t>revenue visibility</t>
  </si>
  <si>
    <t>Is the company's revenue visibility strong?</t>
  </si>
  <si>
    <t>The company's revenue visibility is not strong.</t>
  </si>
  <si>
    <t>contractual recurrence</t>
  </si>
  <si>
    <t>Do the company's revenues contractually recur?</t>
  </si>
  <si>
    <t>The company's revenues contractually recur.</t>
  </si>
  <si>
    <t>product necessity</t>
  </si>
  <si>
    <t>Are the company's products more staple (i.e., mission-critical) than discretionary?</t>
  </si>
  <si>
    <t>The company's products are not more staple than discretionary.</t>
  </si>
  <si>
    <t>customer credit</t>
  </si>
  <si>
    <t>Are the company's customers relatively cycle-resilient (versus cycle-sensitive)?</t>
  </si>
  <si>
    <t>The company's customers are not cycle-resilient.</t>
  </si>
  <si>
    <t>ticket size</t>
  </si>
  <si>
    <t>Are the company's product ticket-sizes (for their customers) large?</t>
  </si>
  <si>
    <t>The company's ticket-sizes are large.</t>
  </si>
  <si>
    <t>commodity cycle</t>
  </si>
  <si>
    <t>Is the company distinctly vulnerable to one or more commodity cycles?</t>
  </si>
  <si>
    <t>The company is not distinctly vulnerable to commodity cycles.</t>
  </si>
  <si>
    <t>financial cycle</t>
  </si>
  <si>
    <t>Is the company distinctly vulnerable to interest rate or equity market moves?</t>
  </si>
  <si>
    <t>The company is not distinctly vulnerable to financial cycles.</t>
  </si>
  <si>
    <t>currency mismatch</t>
  </si>
  <si>
    <t>Is the company materially vulnerable to a currency mismatch?</t>
  </si>
  <si>
    <t>The company is not vulnerbale to a currency mismatch.</t>
  </si>
  <si>
    <t>exotic/novel (precedent)</t>
  </si>
  <si>
    <t>Is the company's model pedigree arguably exotic or novel?</t>
  </si>
  <si>
    <t>The company's model pedigree is exotic or novel.</t>
  </si>
  <si>
    <t>gp pedigree</t>
  </si>
  <si>
    <t>Does the company's model pedigree have a stronger performance record?</t>
  </si>
  <si>
    <t>The company's model pedigree has a stronger performance record.</t>
  </si>
  <si>
    <t>The company's model pedigree does not have a stronger performance record.</t>
  </si>
  <si>
    <t>graveyard</t>
  </si>
  <si>
    <t>Does the company's model pedigree have a weaker performance record?</t>
  </si>
  <si>
    <t>The company's model pedigree has a weaker performance record.</t>
  </si>
  <si>
    <t>The company's model pedigree does not have a weaker performance record.</t>
  </si>
  <si>
    <t>best-in-class operating metrics</t>
  </si>
  <si>
    <t>Has the company achieved best-in-class operating performance?</t>
  </si>
  <si>
    <t>The company has achieved best-in-class operating performance.</t>
  </si>
  <si>
    <t>The company has not achieved best-in-class operating performance.</t>
  </si>
  <si>
    <t>market performance</t>
  </si>
  <si>
    <t>Have the company's shares consistently outperformed the market?</t>
  </si>
  <si>
    <t>The company's shares have consistently outperformed the market.</t>
  </si>
  <si>
    <t>The company's shares have not consistently outperformed the market.</t>
  </si>
  <si>
    <t>reliable delivery (inc. earnings quality)</t>
  </si>
  <si>
    <t>Has the company reliably performed relative to market estimates?</t>
  </si>
  <si>
    <t>The company has reliably performed relative to market estimates.</t>
  </si>
  <si>
    <t>The company has not reliably performed relative to market estimates.</t>
  </si>
  <si>
    <t>strategic focus</t>
  </si>
  <si>
    <t>Is the company's strategy highly focused?</t>
  </si>
  <si>
    <t>The company's strategy is not highly focused.</t>
  </si>
  <si>
    <t>m&amp;a</t>
  </si>
  <si>
    <t>Is the company demonstrably committed to M&amp;A?</t>
  </si>
  <si>
    <t>The company is demonstrably committed to M&amp;A.</t>
  </si>
  <si>
    <t>The company is not demonstrably committed to M&amp;A.</t>
  </si>
  <si>
    <t>buybacks (versus dilution)</t>
  </si>
  <si>
    <t>Is the company demonstrably committed to share repurchases?</t>
  </si>
  <si>
    <t>The company is demonstrably committed to share repurchases.</t>
  </si>
  <si>
    <t>The company is not demonstrably committed to share repurchases.</t>
  </si>
  <si>
    <t>no rpts</t>
  </si>
  <si>
    <t>Does the company have any significant related party exposures?</t>
  </si>
  <si>
    <t>The company does not have significant related party exposures.</t>
  </si>
  <si>
    <t>internal controls (inc. external audit)</t>
  </si>
  <si>
    <t>Are the company's internal controls arguablly weak in any material way?</t>
  </si>
  <si>
    <t>The company's internal controls are not weak.</t>
  </si>
  <si>
    <t>alignment (share structure / board independence)</t>
  </si>
  <si>
    <t>Is the company's board independent and is there a single class of shares?</t>
  </si>
  <si>
    <t>The company's alignment with shareholders is not weak.</t>
  </si>
  <si>
    <t>ecological externalities</t>
  </si>
  <si>
    <t>Is the company's environmental impact (re: emissions, waste and/or water) significant?</t>
  </si>
  <si>
    <t>The company's environmental impact is not significantly negative.</t>
  </si>
  <si>
    <t>exploitation risk</t>
  </si>
  <si>
    <t>Is the company's (direct or indirect) exposure to the exploitation of workers high?</t>
  </si>
  <si>
    <t>The company's exposure to worker exploitation is high.</t>
  </si>
  <si>
    <t>fraud (bad actor) risk</t>
  </si>
  <si>
    <t>Are there any misconduct records or allegations re: any of the company's leaders?</t>
  </si>
  <si>
    <t>The risk that the company has bad actors is high.</t>
  </si>
  <si>
    <t>buyer concentration</t>
  </si>
  <si>
    <t>Is the company's customer concentration high?</t>
  </si>
  <si>
    <t>The company's customer concentration is not high.</t>
  </si>
  <si>
    <t>supplier concentration</t>
  </si>
  <si>
    <t>Is the company's supplier concentration high?</t>
  </si>
  <si>
    <t>The company's supplier concentration is not high.</t>
  </si>
  <si>
    <t>distributor concentration (inc. key man)</t>
  </si>
  <si>
    <t>Is the company's distributor concentration high?</t>
  </si>
  <si>
    <t>The company's distributor concentration is not high.</t>
  </si>
  <si>
    <t>technology</t>
  </si>
  <si>
    <t>Is the company's concentration to a single type of technology high?</t>
  </si>
  <si>
    <t>The company's technology concentration is not high.</t>
  </si>
  <si>
    <t>product</t>
  </si>
  <si>
    <t>Is the company's concentration to a single product type high?</t>
  </si>
  <si>
    <t>The company's product concentration is not high.</t>
  </si>
  <si>
    <t>transaction</t>
  </si>
  <si>
    <t>Is the company's concentration to single transactions high?</t>
  </si>
  <si>
    <t>The company's transaction concentration is high.</t>
  </si>
  <si>
    <t>r&amp;d race (technology obsolescence risk)</t>
  </si>
  <si>
    <t>Does the company need to continuously spend a lot on R&amp;D to remain competitive?</t>
  </si>
  <si>
    <t>The company is not effectively on an R&amp;D treadmill.</t>
  </si>
  <si>
    <t>time &amp; materials</t>
  </si>
  <si>
    <t>Does the company primarily generate revenue from a time &amp; materials model?</t>
  </si>
  <si>
    <t>The company generates revenue from a time &amp; materials model.</t>
  </si>
  <si>
    <t>march of technology loser (at-risk)</t>
  </si>
  <si>
    <t>Is the company arguably at a disadvantage from technological progress?</t>
  </si>
  <si>
    <t>The company is at a disadvantage from technological progress.</t>
  </si>
  <si>
    <t>geopolitical (inc. chinese) exposure</t>
  </si>
  <si>
    <t>Is the company's exposure to China or generally to geopolitical conflict high?</t>
  </si>
  <si>
    <t>The company's exposure to geopolitical conflict is high.</t>
  </si>
  <si>
    <t>interference risk (e.g., reimbursement)</t>
  </si>
  <si>
    <t>Is the company's exposure to regulatory or political interference high?</t>
  </si>
  <si>
    <t>The company's exposure to government interference is not high.</t>
  </si>
  <si>
    <t>bad (depreciating) currency</t>
  </si>
  <si>
    <t>Is the company materially exposed to an historically weak currency?</t>
  </si>
  <si>
    <t>The company is materially exposed to an historically weak currency.</t>
  </si>
  <si>
    <t>The company is not materially exposed to an historically weak currency.</t>
  </si>
  <si>
    <t>BRL</t>
  </si>
  <si>
    <t>INR</t>
  </si>
  <si>
    <t>applypreferences(mergers(announced_date=range(-5y,0d)),addcols='all').ACTION_ID</t>
  </si>
  <si>
    <t>applypreferences(mergers(announced_date=range(-5y,0d)),addcols='all').ANNOUNCED_DATE</t>
  </si>
  <si>
    <t>applypreferences(mergers(announced_date=range(-5y,0d)),addcols='all').PROPOSAL_DATE</t>
  </si>
  <si>
    <t>applypreferences(mergers(announced_date=range(-5y,0d)),addcols='all').TARGET_TICKER</t>
  </si>
  <si>
    <t>applypreferences(mergers(announced_date=range(-5y,0d)),addcols='all').ACQUIRER_TICKER</t>
  </si>
  <si>
    <t>DATES</t>
  </si>
  <si>
    <t>applypreferences(mergers(announced_date=range(-5y,0d)),addcols='all').SELLER_TICKER</t>
  </si>
  <si>
    <t>applypreferences(mergers(announced_date=range(-5y,0d)),addcols='all').EFFECTIVE_DATE</t>
  </si>
  <si>
    <t>applypreferences(mergers(announced_date=range(-5y,0d)),addcols='all').ANNOUNCED_PREMIUM</t>
  </si>
  <si>
    <t>applypreferences(mergers(announced_date=range(-5y,0d)),addcols='all').PAYMENT_TYPE</t>
  </si>
  <si>
    <t>applypreferences(mergers(announced_date=range(-5y,0d)),addcols='all').STATUS</t>
  </si>
  <si>
    <t>applypreferences(mergers(announced_date=range(-5y,0d)),addcols='all').CURRENCY</t>
  </si>
  <si>
    <t>applypreferences(mergers(announced_date=range(-5y,0d)),addcols='all')</t>
  </si>
  <si>
    <t>IDR</t>
  </si>
  <si>
    <t>MXN</t>
  </si>
  <si>
    <t>PHP</t>
  </si>
  <si>
    <t>PLN</t>
  </si>
  <si>
    <t>VND</t>
  </si>
  <si>
    <t>mxwdmc index</t>
  </si>
  <si>
    <t>Shrs Owned</t>
  </si>
  <si>
    <t>% Owned</t>
  </si>
  <si>
    <t>30d Vol</t>
  </si>
  <si>
    <t>Period</t>
  </si>
  <si>
    <t>FY</t>
  </si>
  <si>
    <t>Beg Date</t>
  </si>
  <si>
    <t>GR</t>
  </si>
  <si>
    <t>GEp</t>
  </si>
  <si>
    <t>GM</t>
  </si>
  <si>
    <t>GO</t>
  </si>
  <si>
    <t>GC</t>
  </si>
  <si>
    <t>IO</t>
  </si>
  <si>
    <t>EO</t>
  </si>
  <si>
    <t>JP</t>
  </si>
  <si>
    <t>GS</t>
  </si>
  <si>
    <t>GScp</t>
  </si>
  <si>
    <t>IS</t>
  </si>
  <si>
    <t>IScp</t>
  </si>
  <si>
    <t>US</t>
  </si>
  <si>
    <t>GLSp</t>
  </si>
  <si>
    <t>NW</t>
  </si>
  <si>
    <t>OS</t>
  </si>
  <si>
    <t>RGp</t>
  </si>
  <si>
    <t>GBp</t>
  </si>
  <si>
    <t>Parent/Consolidated Logic</t>
  </si>
  <si>
    <t>Scaling</t>
  </si>
  <si>
    <t>MLN</t>
  </si>
  <si>
    <t xml:space="preserve"> </t>
  </si>
  <si>
    <t>equipment.  The Company designs, develops, manufactures, markets, and services</t>
  </si>
  <si>
    <t>R&amp;D Shares</t>
  </si>
  <si>
    <t>Days Trade</t>
  </si>
  <si>
    <t>30d $</t>
  </si>
  <si>
    <t>Duiven, 6921 RW</t>
  </si>
  <si>
    <t># of Periods</t>
  </si>
  <si>
    <t>End Date</t>
  </si>
  <si>
    <t>ZAr</t>
  </si>
  <si>
    <t>Rene Hendriks,  SVP:Sales Europe/North America</t>
  </si>
  <si>
    <t>Exch Code:</t>
  </si>
  <si>
    <t>USD Mkt Cap:</t>
  </si>
  <si>
    <t>machines that manufacture semiconductor packages, which provide the connection</t>
  </si>
  <si>
    <t>.1% GP Shrs</t>
  </si>
  <si>
    <t>Float</t>
  </si>
  <si>
    <t>90d Vol</t>
  </si>
  <si>
    <t>90 day</t>
  </si>
  <si>
    <t>Netherlands</t>
  </si>
  <si>
    <t>USD Price</t>
  </si>
  <si>
    <t>Quoted Currency</t>
  </si>
  <si>
    <t>ILs</t>
  </si>
  <si>
    <t>Annual</t>
  </si>
  <si>
    <t>Henk-Jan Jonge Poerink,  SVP:Global Operations</t>
  </si>
  <si>
    <t>DIVIDEND WITHHOLDING TAX</t>
  </si>
  <si>
    <t>between the chip and other electronic components and protect the chip.  BE also</t>
  </si>
  <si>
    <t>.1% Days Trade</t>
  </si>
  <si>
    <t>Insiders Own</t>
  </si>
  <si>
    <t>90d $</t>
  </si>
  <si>
    <t>Scale</t>
  </si>
  <si>
    <t>Reported Currency</t>
  </si>
  <si>
    <t>Last FY Auditor</t>
  </si>
  <si>
    <t>Jeroen Kleijburg,  SVP:Packaging</t>
  </si>
  <si>
    <t>Country</t>
  </si>
  <si>
    <t>Exch Code</t>
  </si>
  <si>
    <t>DVD %</t>
  </si>
  <si>
    <t>produces automated molding and plating machines, and manufactures leadframes.</t>
  </si>
  <si>
    <t>Q</t>
  </si>
  <si>
    <t>V</t>
  </si>
  <si>
    <t>M</t>
  </si>
  <si>
    <t>BEST</t>
  </si>
  <si>
    <t>GP</t>
  </si>
  <si>
    <t>Price/</t>
  </si>
  <si>
    <t>=IFERROR(BDP(BD1,"ud wl priority flag")*1,0)</t>
  </si>
  <si>
    <t>Scale2</t>
  </si>
  <si>
    <t>Q/SA</t>
  </si>
  <si>
    <t>Andrea Kopp-Battaglia,  SVP:Finance Die Attach</t>
  </si>
  <si>
    <t>ARGENTINA</t>
  </si>
  <si>
    <t>AR</t>
  </si>
  <si>
    <t>Crncy/Rpt Crncy</t>
  </si>
  <si>
    <t>PA's Rec</t>
  </si>
  <si>
    <t>=IF(BJ96=1,"Sell",IF(BJ96=2,"Reduce",IF(BJ96=3,"Hold",IF(BJ96=4,"Add",IF(BJ96=5,"Buy",IF(BJ96=6,"No Rec",""))))))</t>
  </si>
  <si>
    <t>EPS1</t>
  </si>
  <si>
    <t>P/E</t>
  </si>
  <si>
    <t>EPS2</t>
  </si>
  <si>
    <t>Adj P/E</t>
  </si>
  <si>
    <t>EPS3</t>
  </si>
  <si>
    <t>ROA</t>
  </si>
  <si>
    <t>ROE</t>
  </si>
  <si>
    <t>AUSTRALIA</t>
  </si>
  <si>
    <t>AU</t>
  </si>
  <si>
    <t>EV Vs</t>
  </si>
  <si>
    <t>FY1</t>
  </si>
  <si>
    <t>BBG Scale</t>
  </si>
  <si>
    <t>Last Rpt Dt</t>
  </si>
  <si>
    <t>Next Rpt Dt</t>
  </si>
  <si>
    <t>LTG</t>
  </si>
  <si>
    <t>AUSTRIA</t>
  </si>
  <si>
    <t>AV</t>
  </si>
  <si>
    <t>Funds</t>
  </si>
  <si>
    <t>GE</t>
  </si>
  <si>
    <t>Mkt Cap</t>
  </si>
  <si>
    <t>FY2</t>
  </si>
  <si>
    <t>Peak EPS</t>
  </si>
  <si>
    <t>Returns</t>
  </si>
  <si>
    <t>52wk H</t>
  </si>
  <si>
    <t>52wk L</t>
  </si>
  <si>
    <t>IPO Date</t>
  </si>
  <si>
    <t>Sales</t>
  </si>
  <si>
    <t>BAHRAIN</t>
  </si>
  <si>
    <t>BI</t>
  </si>
  <si>
    <t>Actual</t>
  </si>
  <si>
    <t>T12 P/E</t>
  </si>
  <si>
    <t>FY1 P/E</t>
  </si>
  <si>
    <t>FY2 P/E</t>
  </si>
  <si>
    <t>FY3</t>
  </si>
  <si>
    <t>P/Peak</t>
  </si>
  <si>
    <t>1M</t>
  </si>
  <si>
    <t>IPO Price</t>
  </si>
  <si>
    <t>Equity</t>
  </si>
  <si>
    <t>BANGLADESH</t>
  </si>
  <si>
    <t>BD</t>
  </si>
  <si>
    <t>Model</t>
  </si>
  <si>
    <t>5/0 G+Y</t>
  </si>
  <si>
    <t>4/1 G+Y</t>
  </si>
  <si>
    <t>5/2 G+Y</t>
  </si>
  <si>
    <t>FY4</t>
  </si>
  <si>
    <t>BBG LTG</t>
  </si>
  <si>
    <t>3M</t>
  </si>
  <si>
    <t>Abs Ret</t>
  </si>
  <si>
    <t>Shrs</t>
  </si>
  <si>
    <t>Scale3</t>
  </si>
  <si>
    <t>BELGIUM</t>
  </si>
  <si>
    <t>BB</t>
  </si>
  <si>
    <t>DT@.1%</t>
  </si>
  <si>
    <t>FY5</t>
  </si>
  <si>
    <t>PE/LTG</t>
  </si>
  <si>
    <t>12M</t>
  </si>
  <si>
    <t>Short Int</t>
  </si>
  <si>
    <t xml:space="preserve">Best Scaling? </t>
  </si>
  <si>
    <t>An Rpt</t>
  </si>
  <si>
    <t>BERMUDA</t>
  </si>
  <si>
    <t>BH</t>
  </si>
  <si>
    <t>(Rptd $)</t>
  </si>
  <si>
    <t>*</t>
  </si>
  <si>
    <t>BOTSWANA</t>
  </si>
  <si>
    <t>BG</t>
  </si>
  <si>
    <t>Net Int</t>
  </si>
  <si>
    <t>Min Int/</t>
  </si>
  <si>
    <t>Stk Cmp</t>
  </si>
  <si>
    <t>fyi</t>
  </si>
  <si>
    <t>PO</t>
  </si>
  <si>
    <t>Debt Adj</t>
  </si>
  <si>
    <t>EV/</t>
  </si>
  <si>
    <t>EV5/</t>
  </si>
  <si>
    <t>FCF</t>
  </si>
  <si>
    <t>USD</t>
  </si>
  <si>
    <t>Basic</t>
  </si>
  <si>
    <t>Adj</t>
  </si>
  <si>
    <t>GAAP</t>
  </si>
  <si>
    <t>I/S Min</t>
  </si>
  <si>
    <t>EV</t>
  </si>
  <si>
    <t>Int Adj</t>
  </si>
  <si>
    <t>Perf</t>
  </si>
  <si>
    <t>Inc from</t>
  </si>
  <si>
    <t>1. EV/</t>
  </si>
  <si>
    <t>EV xB/S</t>
  </si>
  <si>
    <t>I/S</t>
  </si>
  <si>
    <t>2. EV/</t>
  </si>
  <si>
    <t>EBITA3</t>
  </si>
  <si>
    <t>EPS</t>
  </si>
  <si>
    <t>GP EV</t>
  </si>
  <si>
    <t>Price</t>
  </si>
  <si>
    <t>BV</t>
  </si>
  <si>
    <t xml:space="preserve">Adj </t>
  </si>
  <si>
    <t>EBITDA2</t>
  </si>
  <si>
    <t>EBITA2</t>
  </si>
  <si>
    <t>BBG</t>
  </si>
  <si>
    <t>FFO/</t>
  </si>
  <si>
    <t>Last Filing</t>
  </si>
  <si>
    <t>Last Avail</t>
  </si>
  <si>
    <t>Lease</t>
  </si>
  <si>
    <t>BRAZIL</t>
  </si>
  <si>
    <t>BZ</t>
  </si>
  <si>
    <t>Date</t>
  </si>
  <si>
    <t>GPM</t>
  </si>
  <si>
    <t>SGA%</t>
  </si>
  <si>
    <t>R&amp;D%</t>
  </si>
  <si>
    <t>EBITDA</t>
  </si>
  <si>
    <t>%</t>
  </si>
  <si>
    <t>EBIT</t>
  </si>
  <si>
    <t>Expense</t>
  </si>
  <si>
    <t>Other</t>
  </si>
  <si>
    <t>Pretax</t>
  </si>
  <si>
    <t>Tax%</t>
  </si>
  <si>
    <t>Net1a</t>
  </si>
  <si>
    <t>Pref DVD</t>
  </si>
  <si>
    <t>Net1b</t>
  </si>
  <si>
    <t>Shares</t>
  </si>
  <si>
    <t>/Sls</t>
  </si>
  <si>
    <t>Amort</t>
  </si>
  <si>
    <t>Ratio</t>
  </si>
  <si>
    <t>Div/Shr</t>
  </si>
  <si>
    <t>YIELD</t>
  </si>
  <si>
    <t>OCF</t>
  </si>
  <si>
    <t>EV/S</t>
  </si>
  <si>
    <t>P/B</t>
  </si>
  <si>
    <t>Yield</t>
  </si>
  <si>
    <t>Shrs (fyi)</t>
  </si>
  <si>
    <t>PRTX</t>
  </si>
  <si>
    <t>Int Inc</t>
  </si>
  <si>
    <t>Int Exp</t>
  </si>
  <si>
    <t>Int</t>
  </si>
  <si>
    <t>Debt</t>
  </si>
  <si>
    <t>Cash</t>
  </si>
  <si>
    <t>Min Int</t>
  </si>
  <si>
    <t>JV</t>
  </si>
  <si>
    <t>Net</t>
  </si>
  <si>
    <t>GP TTM #'s</t>
  </si>
  <si>
    <t>Per Shr</t>
  </si>
  <si>
    <t>T P/B</t>
  </si>
  <si>
    <t>EBITDA1</t>
  </si>
  <si>
    <t>FFO</t>
  </si>
  <si>
    <t>Spot</t>
  </si>
  <si>
    <t>EBITA</t>
  </si>
  <si>
    <t>EBITA #2</t>
  </si>
  <si>
    <t>EBIT #2</t>
  </si>
  <si>
    <t>CO EPS</t>
  </si>
  <si>
    <t>AFFOPS</t>
  </si>
  <si>
    <t>Shr</t>
  </si>
  <si>
    <t>Shr Out</t>
  </si>
  <si>
    <t>Shr Out1</t>
  </si>
  <si>
    <t>Shr Out2</t>
  </si>
  <si>
    <t>Shares2</t>
  </si>
  <si>
    <t>min int</t>
  </si>
  <si>
    <t>pref dvd</t>
  </si>
  <si>
    <t>Dep</t>
  </si>
  <si>
    <t>BULGARIA</t>
  </si>
  <si>
    <t>BU</t>
  </si>
  <si>
    <t>sales rev turn</t>
  </si>
  <si>
    <t>gross margin</t>
  </si>
  <si>
    <t>sell and admin exp to net sales</t>
  </si>
  <si>
    <t>rd expend to net sales</t>
  </si>
  <si>
    <t>ebitda</t>
  </si>
  <si>
    <t>ebit</t>
  </si>
  <si>
    <t>is net interest expense</t>
  </si>
  <si>
    <t>pretax inc</t>
  </si>
  <si>
    <t>eff tax rate</t>
  </si>
  <si>
    <t>is inc bef xo item</t>
  </si>
  <si>
    <t>min noncontrol interest credits</t>
  </si>
  <si>
    <t>earn for common</t>
  </si>
  <si>
    <t>ardr adjusted ebitda</t>
  </si>
  <si>
    <t>is expense stock based comp</t>
  </si>
  <si>
    <t>ud gp ebit3</t>
  </si>
  <si>
    <t>ud gp eps</t>
  </si>
  <si>
    <t>eqy_dvd_sh_12m</t>
  </si>
  <si>
    <t>eqy dvd yld 12m</t>
  </si>
  <si>
    <t>px last</t>
  </si>
  <si>
    <t>pe ratio</t>
  </si>
  <si>
    <t>is fully diluted eps</t>
  </si>
  <si>
    <t>is avg num sh for eps</t>
  </si>
  <si>
    <t>ardr non gaap pretax income</t>
  </si>
  <si>
    <t>is int inc</t>
  </si>
  <si>
    <t>is int expense</t>
  </si>
  <si>
    <t>bs pfd eqy</t>
  </si>
  <si>
    <t>ard eqy in earn affiliate jv</t>
  </si>
  <si>
    <t>income loss from affiliates</t>
  </si>
  <si>
    <t>ud gp est ebit3</t>
  </si>
  <si>
    <t>ud gp est eps</t>
  </si>
  <si>
    <t>ud gp dil shares</t>
  </si>
  <si>
    <t>ud gp ev adj</t>
  </si>
  <si>
    <t>ud gp ebitda</t>
  </si>
  <si>
    <t>is adjusted ebitda as reported</t>
  </si>
  <si>
    <t>cf ffo</t>
  </si>
  <si>
    <t>ud gp ebit2</t>
  </si>
  <si>
    <t>ardr ebita</t>
  </si>
  <si>
    <t>ard ebita</t>
  </si>
  <si>
    <t>ardr adj ebit non gaap op inc</t>
  </si>
  <si>
    <t>is adj ebit op inc as reported</t>
  </si>
  <si>
    <t>ud gp company eps</t>
  </si>
  <si>
    <t>ard adjusted eps</t>
  </si>
  <si>
    <t>cf affops diluted</t>
  </si>
  <si>
    <t>cf ffo per sh diluted</t>
  </si>
  <si>
    <t>bs sh out</t>
  </si>
  <si>
    <t>eqy sh out tot mult sh</t>
  </si>
  <si>
    <t>eqy sh out</t>
  </si>
  <si>
    <t>is tot cash pfd dvd</t>
  </si>
  <si>
    <t>is int expn operating lea liabs</t>
  </si>
  <si>
    <t>CANADA</t>
  </si>
  <si>
    <t>CN</t>
  </si>
  <si>
    <t>P/C</t>
  </si>
  <si>
    <t>CHINA A SHARES</t>
  </si>
  <si>
    <t>CH</t>
  </si>
  <si>
    <t>Per</t>
  </si>
  <si>
    <t>CHINA B SHARES</t>
  </si>
  <si>
    <t>BBG Per</t>
  </si>
  <si>
    <t>CHILE</t>
  </si>
  <si>
    <t>CI</t>
  </si>
  <si>
    <t>+2</t>
  </si>
  <si>
    <t>COLOMBIA</t>
  </si>
  <si>
    <t>CB</t>
  </si>
  <si>
    <t>+1</t>
  </si>
  <si>
    <t>COSTA RICA</t>
  </si>
  <si>
    <t>CR</t>
  </si>
  <si>
    <t>Cur Per</t>
  </si>
  <si>
    <t>CROATIA</t>
  </si>
  <si>
    <t>CZ</t>
  </si>
  <si>
    <t>-1</t>
  </si>
  <si>
    <t>CYPRUS</t>
  </si>
  <si>
    <t>CY</t>
  </si>
  <si>
    <t>-2</t>
  </si>
  <si>
    <t>CZECH REPUBLIC</t>
  </si>
  <si>
    <t>CP</t>
  </si>
  <si>
    <t>-3</t>
  </si>
  <si>
    <t>DENMARK</t>
  </si>
  <si>
    <t>DC</t>
  </si>
  <si>
    <t>-4</t>
  </si>
  <si>
    <t>EGYPT</t>
  </si>
  <si>
    <t>EY</t>
  </si>
  <si>
    <t>-5</t>
  </si>
  <si>
    <t>ESTONIA</t>
  </si>
  <si>
    <t>ET</t>
  </si>
  <si>
    <t>ttm</t>
  </si>
  <si>
    <t>FINLAND</t>
  </si>
  <si>
    <t>FH</t>
  </si>
  <si>
    <t>TTM</t>
  </si>
  <si>
    <t>FRANCE</t>
  </si>
  <si>
    <t>FP</t>
  </si>
  <si>
    <t>Reported</t>
  </si>
  <si>
    <t>Quoted</t>
  </si>
  <si>
    <t>GERMANY</t>
  </si>
  <si>
    <t>E(price)</t>
  </si>
  <si>
    <t>GHANA</t>
  </si>
  <si>
    <t>GN</t>
  </si>
  <si>
    <t>T12M</t>
  </si>
  <si>
    <t>GREECE</t>
  </si>
  <si>
    <t>GA</t>
  </si>
  <si>
    <t>-</t>
  </si>
  <si>
    <t>NCNITA</t>
  </si>
  <si>
    <t>T12 Div/Shr</t>
  </si>
  <si>
    <t>Basic Shrs-&gt;</t>
  </si>
  <si>
    <t>GP EV Adj-&gt;</t>
  </si>
  <si>
    <t>BV's per Shr-&gt;</t>
  </si>
  <si>
    <t>T12M GP</t>
  </si>
  <si>
    <t>T12M GP EBITA2</t>
  </si>
  <si>
    <t>HONG KONG</t>
  </si>
  <si>
    <t>HK</t>
  </si>
  <si>
    <t>HUNGARY</t>
  </si>
  <si>
    <t>HB</t>
  </si>
  <si>
    <t>ICELAND</t>
  </si>
  <si>
    <t>IR</t>
  </si>
  <si>
    <t>INDIA</t>
  </si>
  <si>
    <t>IN</t>
  </si>
  <si>
    <t>INDONESIA</t>
  </si>
  <si>
    <t>IJ</t>
  </si>
  <si>
    <t>Rev/Shr</t>
  </si>
  <si>
    <t>IRELAND</t>
  </si>
  <si>
    <t>ID</t>
  </si>
  <si>
    <t>10 YR</t>
  </si>
  <si>
    <t>Historic Ave/Med</t>
  </si>
  <si>
    <t>T12M-&gt;</t>
  </si>
  <si>
    <t>Q-EPS2</t>
  </si>
  <si>
    <t>S-EPS2</t>
  </si>
  <si>
    <t>Q-EPS3</t>
  </si>
  <si>
    <t>S-EPS3</t>
  </si>
  <si>
    <t>ISRAEL</t>
  </si>
  <si>
    <t>IT</t>
  </si>
  <si>
    <t>5 YR</t>
  </si>
  <si>
    <t>ITALY</t>
  </si>
  <si>
    <t>IM</t>
  </si>
  <si>
    <t>3 YR</t>
  </si>
  <si>
    <t>JAPAN</t>
  </si>
  <si>
    <t>1 YR</t>
  </si>
  <si>
    <t>JORDAN</t>
  </si>
  <si>
    <t>JR</t>
  </si>
  <si>
    <t>FY1 G</t>
  </si>
  <si>
    <t>KAZAKHSTAN</t>
  </si>
  <si>
    <t>KZ</t>
  </si>
  <si>
    <t>FY2 G</t>
  </si>
  <si>
    <t>KENYA</t>
  </si>
  <si>
    <t>KN</t>
  </si>
  <si>
    <t>5 YR Est G</t>
  </si>
  <si>
    <t>KUWAIT</t>
  </si>
  <si>
    <t>KK</t>
  </si>
  <si>
    <t>FY4/FY1 G</t>
  </si>
  <si>
    <t>LATVIA</t>
  </si>
  <si>
    <t>LR</t>
  </si>
  <si>
    <t>FY5/FY2 G</t>
  </si>
  <si>
    <t>LEBANON</t>
  </si>
  <si>
    <t>LB</t>
  </si>
  <si>
    <t>FYI</t>
  </si>
  <si>
    <t>LITHUANIA</t>
  </si>
  <si>
    <t>LH</t>
  </si>
  <si>
    <t>ROU</t>
  </si>
  <si>
    <t>Inv in</t>
  </si>
  <si>
    <t>*LT Inv incl</t>
  </si>
  <si>
    <t>Ex $</t>
  </si>
  <si>
    <t>ST</t>
  </si>
  <si>
    <t>LT</t>
  </si>
  <si>
    <t>Total</t>
  </si>
  <si>
    <t>Common</t>
  </si>
  <si>
    <t>Tang C</t>
  </si>
  <si>
    <t>Net Cash</t>
  </si>
  <si>
    <t>T BV/</t>
  </si>
  <si>
    <t>Net Debt/</t>
  </si>
  <si>
    <t>Cash Conversion Cycle</t>
  </si>
  <si>
    <t>Exch Rt</t>
  </si>
  <si>
    <t>Debt/</t>
  </si>
  <si>
    <t>Non Cur</t>
  </si>
  <si>
    <t>BV/</t>
  </si>
  <si>
    <t>Pension</t>
  </si>
  <si>
    <t>$ Adj</t>
  </si>
  <si>
    <t>IS Inc</t>
  </si>
  <si>
    <t>DT/</t>
  </si>
  <si>
    <t>Rev/</t>
  </si>
  <si>
    <t>Unbilled</t>
  </si>
  <si>
    <t>Deferred</t>
  </si>
  <si>
    <t>Cap</t>
  </si>
  <si>
    <t>SC</t>
  </si>
  <si>
    <t>Stock</t>
  </si>
  <si>
    <t>As a %</t>
  </si>
  <si>
    <t>ARD</t>
  </si>
  <si>
    <t>ARDR</t>
  </si>
  <si>
    <t>Amort/</t>
  </si>
  <si>
    <t>FD</t>
  </si>
  <si>
    <t>NITA/</t>
  </si>
  <si>
    <t>EBITDA/</t>
  </si>
  <si>
    <t>Current</t>
  </si>
  <si>
    <t>LUXEMBURG</t>
  </si>
  <si>
    <t>LX</t>
  </si>
  <si>
    <t>STI</t>
  </si>
  <si>
    <t>Rec</t>
  </si>
  <si>
    <t>Inv</t>
  </si>
  <si>
    <t>Oth CA</t>
  </si>
  <si>
    <t>Leases</t>
  </si>
  <si>
    <t>Plant</t>
  </si>
  <si>
    <t>LT Inv</t>
  </si>
  <si>
    <t>Assoc</t>
  </si>
  <si>
    <t>GW</t>
  </si>
  <si>
    <t>Intang</t>
  </si>
  <si>
    <t>LTA</t>
  </si>
  <si>
    <t>TA</t>
  </si>
  <si>
    <t>NCTA*</t>
  </si>
  <si>
    <t>NITA</t>
  </si>
  <si>
    <t>NCNITA*</t>
  </si>
  <si>
    <t>WC</t>
  </si>
  <si>
    <t>CWC</t>
  </si>
  <si>
    <t>Pay</t>
  </si>
  <si>
    <t>CL-</t>
  </si>
  <si>
    <t>STD</t>
  </si>
  <si>
    <t>LTD</t>
  </si>
  <si>
    <t>LTL</t>
  </si>
  <si>
    <t>Debt*</t>
  </si>
  <si>
    <t>RE</t>
  </si>
  <si>
    <t>Pref</t>
  </si>
  <si>
    <t>/Shr*</t>
  </si>
  <si>
    <t>P/TB</t>
  </si>
  <si>
    <t>Shr*</t>
  </si>
  <si>
    <t>TA/E</t>
  </si>
  <si>
    <t>D/E</t>
  </si>
  <si>
    <t>Int Cov</t>
  </si>
  <si>
    <t>DIOs</t>
  </si>
  <si>
    <t>DSOs</t>
  </si>
  <si>
    <t>DPOs</t>
  </si>
  <si>
    <t># Days</t>
  </si>
  <si>
    <t>T Equity</t>
  </si>
  <si>
    <t>WC/Rev</t>
  </si>
  <si>
    <t>Liab</t>
  </si>
  <si>
    <t>Liabilities</t>
  </si>
  <si>
    <t>CA - $</t>
  </si>
  <si>
    <t>CA</t>
  </si>
  <si>
    <t>CL</t>
  </si>
  <si>
    <t>Tax Exp</t>
  </si>
  <si>
    <t>Tax</t>
  </si>
  <si>
    <t>1-2</t>
  </si>
  <si>
    <t>TX</t>
  </si>
  <si>
    <t>Revs</t>
  </si>
  <si>
    <t>Cap Soft</t>
  </si>
  <si>
    <t>Soft</t>
  </si>
  <si>
    <t>Inv in A</t>
  </si>
  <si>
    <t>Exp #1</t>
  </si>
  <si>
    <t>Exp #4</t>
  </si>
  <si>
    <t>Exp #2</t>
  </si>
  <si>
    <t>Exp #3</t>
  </si>
  <si>
    <t>Comp</t>
  </si>
  <si>
    <t>of Sales</t>
  </si>
  <si>
    <t>of Intang</t>
  </si>
  <si>
    <t>IS Dep</t>
  </si>
  <si>
    <t>D&amp;A</t>
  </si>
  <si>
    <t>AMORT</t>
  </si>
  <si>
    <t>Tang E</t>
  </si>
  <si>
    <t>MALAYSIA</t>
  </si>
  <si>
    <t>MK</t>
  </si>
  <si>
    <t>bs cash near cash item</t>
  </si>
  <si>
    <t>bs mkt sec other st invest</t>
  </si>
  <si>
    <t>bs acct note rcv</t>
  </si>
  <si>
    <t>bs inventories</t>
  </si>
  <si>
    <t>bs net fix asset</t>
  </si>
  <si>
    <t>bs lt invest</t>
  </si>
  <si>
    <t>bs goodwill</t>
  </si>
  <si>
    <t>other intangible assets detailed</t>
  </si>
  <si>
    <t>bs tot asset</t>
  </si>
  <si>
    <t>bs acct payable</t>
  </si>
  <si>
    <t>bs pure retained earnings</t>
  </si>
  <si>
    <t>total equity</t>
  </si>
  <si>
    <t>minority noncontrolling interest</t>
  </si>
  <si>
    <t>tot common eqy</t>
  </si>
  <si>
    <t>tot debt to tot eqy</t>
  </si>
  <si>
    <t>bs disclosed intangibles</t>
  </si>
  <si>
    <t>non cur liab</t>
  </si>
  <si>
    <t>pension liabilities</t>
  </si>
  <si>
    <t>bs cur asset report</t>
  </si>
  <si>
    <t>bs other asset def chng other</t>
  </si>
  <si>
    <t>bs cur liab</t>
  </si>
  <si>
    <t>bs st borrow</t>
  </si>
  <si>
    <t>bs st operating lease liabs</t>
  </si>
  <si>
    <t>bs lt borrow</t>
  </si>
  <si>
    <t>bs lt operating lease liabs</t>
  </si>
  <si>
    <t>is inc tax exp</t>
  </si>
  <si>
    <t>cf cash paid for tax</t>
  </si>
  <si>
    <t>bs unbilled revenues</t>
  </si>
  <si>
    <t>ardr amts recoverable contracts</t>
  </si>
  <si>
    <t>ard prepayment advance</t>
  </si>
  <si>
    <t>st deferred revenue</t>
  </si>
  <si>
    <t>ard customer deposit advances st</t>
  </si>
  <si>
    <t>ard deferred unearned rev st</t>
  </si>
  <si>
    <t>capitalized software</t>
  </si>
  <si>
    <t>ard capitalized software</t>
  </si>
  <si>
    <t>ard capitalized software net</t>
  </si>
  <si>
    <t>ard capitalized software gross</t>
  </si>
  <si>
    <t>ardr capitalized software net</t>
  </si>
  <si>
    <t>ardr capitalized software gross</t>
  </si>
  <si>
    <t>ard capitalize software net st</t>
  </si>
  <si>
    <t>bs invest in assoc co</t>
  </si>
  <si>
    <t>ard investment in affiliate jv</t>
  </si>
  <si>
    <t>ardr investment in affiliate jv</t>
  </si>
  <si>
    <t>ardr stk based compensation exp</t>
  </si>
  <si>
    <t>ard stock based compensation</t>
  </si>
  <si>
    <t>ardr stk bsd cmpnstn cf pre tax</t>
  </si>
  <si>
    <t>ard amort of intangible assets</t>
  </si>
  <si>
    <t>ard amort exp</t>
  </si>
  <si>
    <t>ardr amort exp</t>
  </si>
  <si>
    <t>is depr exp</t>
  </si>
  <si>
    <t>cf depr amort</t>
  </si>
  <si>
    <t>is sh for diluted eps</t>
  </si>
  <si>
    <t>is eps</t>
  </si>
  <si>
    <t>tot oper lea rt of use assets</t>
  </si>
  <si>
    <t>bs oper lea rt of use assets</t>
  </si>
  <si>
    <t>MALTA</t>
  </si>
  <si>
    <t>MV</t>
  </si>
  <si>
    <t>MEXICO</t>
  </si>
  <si>
    <t>MM</t>
  </si>
  <si>
    <t>MOROCCO</t>
  </si>
  <si>
    <t>MC</t>
  </si>
  <si>
    <t>NAMIBIA</t>
  </si>
  <si>
    <t>Oth LTL</t>
  </si>
  <si>
    <t>NETHERLANDS</t>
  </si>
  <si>
    <t>NA</t>
  </si>
  <si>
    <t>NEW ZEALAND</t>
  </si>
  <si>
    <t>NZ</t>
  </si>
  <si>
    <t>NIGERIA</t>
  </si>
  <si>
    <t>NL</t>
  </si>
  <si>
    <t>NORWAY</t>
  </si>
  <si>
    <t>NO</t>
  </si>
  <si>
    <t>TE</t>
  </si>
  <si>
    <t>Oth LTA</t>
  </si>
  <si>
    <t>OMAN</t>
  </si>
  <si>
    <t>OM</t>
  </si>
  <si>
    <t>PAKISTAN</t>
  </si>
  <si>
    <t>PERU</t>
  </si>
  <si>
    <t>PE</t>
  </si>
  <si>
    <t>PHILLIPINES</t>
  </si>
  <si>
    <t>PM</t>
  </si>
  <si>
    <t>MI</t>
  </si>
  <si>
    <t>POLAND</t>
  </si>
  <si>
    <t>PW</t>
  </si>
  <si>
    <t>PORTUGAL</t>
  </si>
  <si>
    <t>PL</t>
  </si>
  <si>
    <t>QATAR</t>
  </si>
  <si>
    <t>QD</t>
  </si>
  <si>
    <t>ROMANIA</t>
  </si>
  <si>
    <t>RO</t>
  </si>
  <si>
    <t>RUSSIA</t>
  </si>
  <si>
    <t>RM</t>
  </si>
  <si>
    <t>SAUDI ARABIA</t>
  </si>
  <si>
    <t>AB</t>
  </si>
  <si>
    <t>Turnover Ratios</t>
  </si>
  <si>
    <t>Yr/Yr Growth</t>
  </si>
  <si>
    <t>OCF/</t>
  </si>
  <si>
    <t>CFO/</t>
  </si>
  <si>
    <t>Capx/</t>
  </si>
  <si>
    <t>Origins of Growth</t>
  </si>
  <si>
    <t>Oper</t>
  </si>
  <si>
    <t>Prtx</t>
  </si>
  <si>
    <t>NET</t>
  </si>
  <si>
    <t>EBIT/</t>
  </si>
  <si>
    <t>PRTX ROA</t>
  </si>
  <si>
    <t>BV /</t>
  </si>
  <si>
    <t>NCROA</t>
  </si>
  <si>
    <t>Disp</t>
  </si>
  <si>
    <t>Plnt</t>
  </si>
  <si>
    <t>Sale</t>
  </si>
  <si>
    <t>Purch of</t>
  </si>
  <si>
    <t>$ for</t>
  </si>
  <si>
    <t xml:space="preserve">BBG </t>
  </si>
  <si>
    <t>T12 Rev</t>
  </si>
  <si>
    <t>T12 EBIT</t>
  </si>
  <si>
    <t>T12 EPS</t>
  </si>
  <si>
    <t>Rec T/O</t>
  </si>
  <si>
    <t>Plant T/O</t>
  </si>
  <si>
    <t>SINGAPORE</t>
  </si>
  <si>
    <t>SP</t>
  </si>
  <si>
    <t>COGS/Inv</t>
  </si>
  <si>
    <t>NCTA</t>
  </si>
  <si>
    <t>NI</t>
  </si>
  <si>
    <t>- NI</t>
  </si>
  <si>
    <t>CFO</t>
  </si>
  <si>
    <t>Capx</t>
  </si>
  <si>
    <t>ACQ</t>
  </si>
  <si>
    <t>S/U</t>
  </si>
  <si>
    <t>Div</t>
  </si>
  <si>
    <t>TBV G</t>
  </si>
  <si>
    <t>ROBE</t>
  </si>
  <si>
    <t>ROEE</t>
  </si>
  <si>
    <t>ROIC</t>
  </si>
  <si>
    <t>ROCE</t>
  </si>
  <si>
    <t>ROAA</t>
  </si>
  <si>
    <t>NCNIROA</t>
  </si>
  <si>
    <t>Ex Lease</t>
  </si>
  <si>
    <t>Shr G</t>
  </si>
  <si>
    <t>Ex-Payb</t>
  </si>
  <si>
    <t>Net2</t>
  </si>
  <si>
    <t>Net3</t>
  </si>
  <si>
    <t>COGS</t>
  </si>
  <si>
    <t>DA</t>
  </si>
  <si>
    <t>Oth</t>
  </si>
  <si>
    <t>of FA</t>
  </si>
  <si>
    <t>Purch</t>
  </si>
  <si>
    <t>Capx1</t>
  </si>
  <si>
    <t>Capx2</t>
  </si>
  <si>
    <t>Divest1</t>
  </si>
  <si>
    <t>Divest2</t>
  </si>
  <si>
    <t>DIVEST</t>
  </si>
  <si>
    <t>Acq</t>
  </si>
  <si>
    <t>JV's1</t>
  </si>
  <si>
    <t>JV's2</t>
  </si>
  <si>
    <t>ACQ1</t>
  </si>
  <si>
    <t>Acq 2</t>
  </si>
  <si>
    <t>Dvd</t>
  </si>
  <si>
    <t>Buys</t>
  </si>
  <si>
    <t>Stock BB</t>
  </si>
  <si>
    <t>CAGR</t>
  </si>
  <si>
    <t>SLOVAK RE</t>
  </si>
  <si>
    <t>SK</t>
  </si>
  <si>
    <t>cf chng non cash work cap</t>
  </si>
  <si>
    <t>cf acquisition of intang assets</t>
  </si>
  <si>
    <t>operating roic</t>
  </si>
  <si>
    <t>pretax roce</t>
  </si>
  <si>
    <t>return on asset</t>
  </si>
  <si>
    <t>ud gp net2</t>
  </si>
  <si>
    <t>ud gp ni</t>
  </si>
  <si>
    <t>is cogs to fe and pp and g</t>
  </si>
  <si>
    <t>gross profit</t>
  </si>
  <si>
    <t>cf net inc</t>
  </si>
  <si>
    <t>cf other non cash adjust</t>
  </si>
  <si>
    <t>ard minority int distributions</t>
  </si>
  <si>
    <t>cf cash from oper</t>
  </si>
  <si>
    <t>cf disp fix asset</t>
  </si>
  <si>
    <t>cf cap expend prpty add</t>
  </si>
  <si>
    <t>cf decr invest</t>
  </si>
  <si>
    <t>cf incr invest</t>
  </si>
  <si>
    <t>ard purchase of intangibles</t>
  </si>
  <si>
    <t>cf cash for divestitures</t>
  </si>
  <si>
    <t>ard divestiture of business</t>
  </si>
  <si>
    <t>cf cash for acquis subsidiaries</t>
  </si>
  <si>
    <t>ard acquisition of business</t>
  </si>
  <si>
    <t>cf cash for joint ventures assoc</t>
  </si>
  <si>
    <t>ard purchase assoc joint venture</t>
  </si>
  <si>
    <t>cf nt csh rcvd pd for acquis div</t>
  </si>
  <si>
    <t>cf net cash paid rcvd acq divest</t>
  </si>
  <si>
    <t>cf dvd paid</t>
  </si>
  <si>
    <t>cf incr cap stock</t>
  </si>
  <si>
    <t>cf decr cap stock</t>
  </si>
  <si>
    <t>net cap stock</t>
  </si>
  <si>
    <t>SLOVENIA</t>
  </si>
  <si>
    <t>SV</t>
  </si>
  <si>
    <t>SOUTH AFRICA</t>
  </si>
  <si>
    <t>SJ</t>
  </si>
  <si>
    <t>#N/A N/A</t>
  </si>
  <si>
    <t>SOUTH KOREA</t>
  </si>
  <si>
    <t>KS</t>
  </si>
  <si>
    <t>SPAIN</t>
  </si>
  <si>
    <t>SM</t>
  </si>
  <si>
    <t>T12 GP</t>
  </si>
  <si>
    <t>TBV</t>
  </si>
  <si>
    <t>Inv T/O</t>
  </si>
  <si>
    <t xml:space="preserve">TA </t>
  </si>
  <si>
    <t>NCTA T/O</t>
  </si>
  <si>
    <t>SRI LANKA</t>
  </si>
  <si>
    <t>SL</t>
  </si>
  <si>
    <t>/Shr</t>
  </si>
  <si>
    <t>Com</t>
  </si>
  <si>
    <t>SWAZILAND</t>
  </si>
  <si>
    <t>SD</t>
  </si>
  <si>
    <t>SWEDEN</t>
  </si>
  <si>
    <t>SS</t>
  </si>
  <si>
    <t>SWITZERLAND</t>
  </si>
  <si>
    <t>VX</t>
  </si>
  <si>
    <t>SWITZERLAND 2</t>
  </si>
  <si>
    <t>SW</t>
  </si>
  <si>
    <t>T12 EBITDA</t>
  </si>
  <si>
    <t>COGS/</t>
  </si>
  <si>
    <t>TAIWAN</t>
  </si>
  <si>
    <t>TT</t>
  </si>
  <si>
    <t xml:space="preserve">Inv </t>
  </si>
  <si>
    <t>THAILAND</t>
  </si>
  <si>
    <t>TB</t>
  </si>
  <si>
    <t>TRINIDAD/TOBAGO</t>
  </si>
  <si>
    <t>TP</t>
  </si>
  <si>
    <t>TURKEY</t>
  </si>
  <si>
    <t>TI</t>
  </si>
  <si>
    <t>month</t>
  </si>
  <si>
    <t>UAE</t>
  </si>
  <si>
    <t>UH</t>
  </si>
  <si>
    <t>day</t>
  </si>
  <si>
    <t>UNITED KINGDOM</t>
  </si>
  <si>
    <t>LN</t>
  </si>
  <si>
    <t>year</t>
  </si>
  <si>
    <t>UKRAIN</t>
  </si>
  <si>
    <t>UZ</t>
  </si>
  <si>
    <t>date</t>
  </si>
  <si>
    <t>URUGUAY</t>
  </si>
  <si>
    <t>UY</t>
  </si>
  <si>
    <t>Exch Rate</t>
  </si>
  <si>
    <t>VENEZUELA</t>
  </si>
  <si>
    <t>VC</t>
  </si>
  <si>
    <t>Last On-site</t>
  </si>
  <si>
    <t>GP Exp Return</t>
  </si>
  <si>
    <t>Upside</t>
  </si>
  <si>
    <t>↓side</t>
  </si>
  <si>
    <t>GP Total</t>
  </si>
  <si>
    <t>Categories</t>
  </si>
  <si>
    <t>Confidence</t>
  </si>
  <si>
    <t>Red Flags</t>
  </si>
  <si>
    <t>Hidden A/L</t>
  </si>
  <si>
    <t>fyi Cap</t>
  </si>
  <si>
    <t>EBITA3/</t>
  </si>
  <si>
    <t>*slightly different from model due to rounding</t>
  </si>
  <si>
    <t>VIETNAM</t>
  </si>
  <si>
    <t>VN</t>
  </si>
  <si>
    <t>Last Touch</t>
  </si>
  <si>
    <t>Revenue</t>
  </si>
  <si>
    <t>Category</t>
  </si>
  <si>
    <t>1Yr Mdl</t>
  </si>
  <si>
    <t>GP Lqdty Score</t>
  </si>
  <si>
    <t>Unbilled Revs</t>
  </si>
  <si>
    <t>Value of Tsy Shs</t>
  </si>
  <si>
    <t>Dilluted</t>
  </si>
  <si>
    <t>∆</t>
  </si>
  <si>
    <t>Ending Mx</t>
  </si>
  <si>
    <t>Downside</t>
  </si>
  <si>
    <t>Probabilities</t>
  </si>
  <si>
    <t>Base</t>
  </si>
  <si>
    <t>ZAMBIA</t>
  </si>
  <si>
    <t>ZL</t>
  </si>
  <si>
    <t>Margins</t>
  </si>
  <si>
    <t>Sub</t>
  </si>
  <si>
    <t>1Yr Mult</t>
  </si>
  <si>
    <t>Liquidity</t>
  </si>
  <si>
    <t xml:space="preserve">  - % of CA</t>
  </si>
  <si>
    <t>Mx</t>
  </si>
  <si>
    <t>mx</t>
  </si>
  <si>
    <t>Yield FY1</t>
  </si>
  <si>
    <t>ZIMBABWE</t>
  </si>
  <si>
    <t>ZH</t>
  </si>
  <si>
    <t>Capital/Tax</t>
  </si>
  <si>
    <t>5Yr Mdl</t>
  </si>
  <si>
    <t>Pension O/U</t>
  </si>
  <si>
    <t>Deferred Revs</t>
  </si>
  <si>
    <t>NOL Carryfwds</t>
  </si>
  <si>
    <t>E(R )</t>
  </si>
  <si>
    <t>Exp P</t>
  </si>
  <si>
    <t>price</t>
  </si>
  <si>
    <t>Yield FY2</t>
  </si>
  <si>
    <t>UNITED STATES</t>
  </si>
  <si>
    <t>Model Dt</t>
  </si>
  <si>
    <t>P/E Exp/Cont</t>
  </si>
  <si>
    <t>Short</t>
  </si>
  <si>
    <t>5Yr Mult</t>
  </si>
  <si>
    <t>DT</t>
  </si>
  <si>
    <t>Pens Fund Ratio</t>
  </si>
  <si>
    <t xml:space="preserve">  - % of CL</t>
  </si>
  <si>
    <t>Capital Leases</t>
  </si>
  <si>
    <t>Beta</t>
  </si>
  <si>
    <t>WACC</t>
  </si>
  <si>
    <t>D</t>
  </si>
  <si>
    <t>P</t>
  </si>
  <si>
    <t>E</t>
  </si>
  <si>
    <t>D%</t>
  </si>
  <si>
    <t>P%</t>
  </si>
  <si>
    <t>E%</t>
  </si>
  <si>
    <t>PE/G+Y</t>
  </si>
  <si>
    <t>Yield FY3</t>
  </si>
  <si>
    <t>Model Status</t>
  </si>
  <si>
    <t>E(Return)</t>
  </si>
  <si>
    <t>Convert</t>
  </si>
  <si>
    <t>Taiwan CH?</t>
  </si>
  <si>
    <t>Auditor</t>
  </si>
  <si>
    <t>Op Lease Oblig</t>
  </si>
  <si>
    <t>90D RSI</t>
  </si>
  <si>
    <t>Value</t>
  </si>
  <si>
    <t>Yield FY4</t>
  </si>
  <si>
    <t>DOR Val</t>
  </si>
  <si>
    <t>E(DVD Yield)</t>
  </si>
  <si>
    <t>Analyst's 5Yr</t>
  </si>
  <si>
    <t>Acl/</t>
  </si>
  <si>
    <t>Cur G</t>
  </si>
  <si>
    <t>Insider</t>
  </si>
  <si>
    <t>Dupont Score</t>
  </si>
  <si>
    <t>GP CRP</t>
  </si>
  <si>
    <t>Capital</t>
  </si>
  <si>
    <t>Eqy Shrs</t>
  </si>
  <si>
    <t>EV/EBITA</t>
  </si>
  <si>
    <t>Mo/Val</t>
  </si>
  <si>
    <t>Yield FY5</t>
  </si>
  <si>
    <t>DOR Status</t>
  </si>
  <si>
    <t>GP Risk Prem</t>
  </si>
  <si>
    <t>Q Adj Rec</t>
  </si>
  <si>
    <t>Abs G</t>
  </si>
  <si>
    <t>Dcl G</t>
  </si>
  <si>
    <t>vs LTG</t>
  </si>
  <si>
    <t>Ests</t>
  </si>
  <si>
    <t>Level</t>
  </si>
  <si>
    <t>Trend</t>
  </si>
  <si>
    <t>Tech</t>
  </si>
  <si>
    <t>Buying*</t>
  </si>
  <si>
    <t>Currency</t>
  </si>
  <si>
    <t>Reserve</t>
  </si>
  <si>
    <t>Multi Shrs</t>
  </si>
  <si>
    <t>EV/EBITDA</t>
  </si>
  <si>
    <t>Buy/Sell</t>
  </si>
  <si>
    <t>1P Upload</t>
  </si>
  <si>
    <t>Total Return</t>
  </si>
  <si>
    <t>Grade</t>
  </si>
  <si>
    <t>Orders</t>
  </si>
  <si>
    <t>Analysts</t>
  </si>
  <si>
    <t>USD Levels</t>
  </si>
  <si>
    <t>C Revs</t>
  </si>
  <si>
    <t>P Revs</t>
  </si>
  <si>
    <t>C EPS</t>
  </si>
  <si>
    <t>P EPS</t>
  </si>
  <si>
    <t>C/P?</t>
  </si>
  <si>
    <t>DVD W/H</t>
  </si>
  <si>
    <t>1P Status</t>
  </si>
  <si>
    <t>Predictablility</t>
  </si>
  <si>
    <t>Management</t>
  </si>
  <si>
    <t>Governance</t>
  </si>
  <si>
    <t>Sustainablility</t>
  </si>
  <si>
    <t>Binariness</t>
  </si>
  <si>
    <t>Volatility</t>
  </si>
  <si>
    <t>Manu Adj</t>
  </si>
  <si>
    <t>Bk/Bill</t>
  </si>
  <si>
    <t>Buy Recs</t>
  </si>
  <si>
    <t>Box</t>
  </si>
  <si>
    <t>1P DOR Val</t>
  </si>
  <si>
    <t>Total CRP</t>
  </si>
  <si>
    <t>Backlog</t>
  </si>
  <si>
    <t>Hold Recs</t>
  </si>
  <si>
    <t>An Rpt Dt</t>
  </si>
  <si>
    <t>QoD</t>
  </si>
  <si>
    <t>RFR</t>
  </si>
  <si>
    <t>BL/Revs</t>
  </si>
  <si>
    <t>Sell Recs</t>
  </si>
  <si>
    <t>MXWDSC</t>
  </si>
  <si>
    <t>CEST</t>
  </si>
  <si>
    <t>Best</t>
  </si>
  <si>
    <t>GP vs</t>
  </si>
  <si>
    <t>C-FFO</t>
  </si>
  <si>
    <t>B-FFO</t>
  </si>
  <si>
    <t>FYI GP</t>
  </si>
  <si>
    <t>Vs.</t>
  </si>
  <si>
    <t>Co</t>
  </si>
  <si>
    <t>MSCI SC</t>
  </si>
  <si>
    <t>RGS</t>
  </si>
  <si>
    <t>Margin</t>
  </si>
  <si>
    <t>EBIT1</t>
  </si>
  <si>
    <t>EBIT2</t>
  </si>
  <si>
    <t>vs GP</t>
  </si>
  <si>
    <t>OPM</t>
  </si>
  <si>
    <t>GAAP NI</t>
  </si>
  <si>
    <t>NI-GAAP</t>
  </si>
  <si>
    <t>Adj NI</t>
  </si>
  <si>
    <t>ADJ NI</t>
  </si>
  <si>
    <t>GAAP EPS</t>
  </si>
  <si>
    <t>EPS-GAAP</t>
  </si>
  <si>
    <t>Adj EPS</t>
  </si>
  <si>
    <t>ND/E-DA</t>
  </si>
  <si>
    <t>LT G</t>
  </si>
  <si>
    <t>EV/EBIT</t>
  </si>
  <si>
    <t>EV/E-DA</t>
  </si>
  <si>
    <t>PEG</t>
  </si>
  <si>
    <t>CEST Data Available?</t>
  </si>
  <si>
    <t>Last CEST Date</t>
  </si>
  <si>
    <t>ticker</t>
  </si>
  <si>
    <t>revenue</t>
  </si>
  <si>
    <t>gross</t>
  </si>
  <si>
    <t>ocf</t>
  </si>
  <si>
    <t>net debt</t>
  </si>
  <si>
    <t>share</t>
  </si>
  <si>
    <t>capex</t>
  </si>
  <si>
    <t>ncnita</t>
  </si>
  <si>
    <t>growth</t>
  </si>
  <si>
    <t>margin</t>
  </si>
  <si>
    <t>dilution</t>
  </si>
  <si>
    <t xml:space="preserve"> level</t>
  </si>
  <si>
    <t xml:space="preserve"> yoy</t>
  </si>
  <si>
    <t>neg vol #</t>
  </si>
  <si>
    <t>tot #</t>
  </si>
  <si>
    <t>neg vol / tot</t>
  </si>
  <si>
    <t>avg neg vol</t>
  </si>
  <si>
    <t>MEAN</t>
  </si>
  <si>
    <t>LAST</t>
  </si>
  <si>
    <t>WORST</t>
  </si>
  <si>
    <t>FREQUENCY</t>
  </si>
  <si>
    <t>SEVERITY</t>
  </si>
  <si>
    <t>mkt cap</t>
  </si>
  <si>
    <t>earnings power</t>
  </si>
  <si>
    <t>watch list</t>
  </si>
  <si>
    <t>earnings premium</t>
  </si>
  <si>
    <t>pa</t>
  </si>
  <si>
    <t>sa</t>
  </si>
  <si>
    <t>market rating</t>
  </si>
  <si>
    <t>Q or SA?</t>
  </si>
  <si>
    <t>BBG/FDS?</t>
  </si>
  <si>
    <t>Financial?</t>
  </si>
  <si>
    <t>Use Revs?</t>
  </si>
  <si>
    <t>FFO?</t>
  </si>
  <si>
    <t>ROE?</t>
  </si>
  <si>
    <t>(additive)</t>
  </si>
  <si>
    <t>Weight</t>
  </si>
  <si>
    <t>-1FQ G</t>
  </si>
  <si>
    <t>Earnings Surprise Score</t>
  </si>
  <si>
    <t>Wtd Ave</t>
  </si>
  <si>
    <t>-0FQ G</t>
  </si>
  <si>
    <t>Add to Mo Score</t>
  </si>
  <si>
    <t>CHINA</t>
  </si>
  <si>
    <t>ROA Score</t>
  </si>
  <si>
    <t>0SA G</t>
  </si>
  <si>
    <t>Count</t>
  </si>
  <si>
    <t>Average</t>
  </si>
  <si>
    <t>Positive</t>
  </si>
  <si>
    <t>1FQ G</t>
  </si>
  <si>
    <t>BBG ROE</t>
  </si>
  <si>
    <t>Negative</t>
  </si>
  <si>
    <t>2FQ G</t>
  </si>
  <si>
    <t>ROBE fyi</t>
  </si>
  <si>
    <t>Ave</t>
  </si>
  <si>
    <t>Score</t>
  </si>
  <si>
    <t>+ Prob</t>
  </si>
  <si>
    <t>GEORGIA</t>
  </si>
  <si>
    <t>Override</t>
  </si>
  <si>
    <t>DM/EM?</t>
  </si>
  <si>
    <t>1SA G</t>
  </si>
  <si>
    <t>ROE Score</t>
  </si>
  <si>
    <t>Calculated Surp Score</t>
  </si>
  <si>
    <t>GREENLAND</t>
  </si>
  <si>
    <t>Next G</t>
  </si>
  <si>
    <t>JERSEY</t>
  </si>
  <si>
    <t>LUXEMBOURG</t>
  </si>
  <si>
    <t>LTG Est</t>
  </si>
  <si>
    <t>Cur vs LTG</t>
  </si>
  <si>
    <t>BDS Output</t>
  </si>
  <si>
    <t>Time</t>
  </si>
  <si>
    <t>Estimate</t>
  </si>
  <si>
    <t>Price -2</t>
  </si>
  <si>
    <t>Price +2</t>
  </si>
  <si>
    <t>Change</t>
  </si>
  <si>
    <t>PHILIPPINES</t>
  </si>
  <si>
    <t>2024:S1</t>
  </si>
  <si>
    <t>2024:Q1</t>
  </si>
  <si>
    <t>2023:A</t>
  </si>
  <si>
    <t>2023:Q3</t>
  </si>
  <si>
    <t>2023:S1</t>
  </si>
  <si>
    <t>2023:Q1</t>
  </si>
  <si>
    <t>2022:A</t>
  </si>
  <si>
    <t>2022:Q3</t>
  </si>
  <si>
    <t>2022:S1</t>
  </si>
  <si>
    <t>2022:Q1</t>
  </si>
  <si>
    <t>2021:A</t>
  </si>
  <si>
    <t>2021:Q3</t>
  </si>
  <si>
    <t>2021:S1</t>
  </si>
  <si>
    <t>2021:Q1</t>
  </si>
  <si>
    <t>2020:A</t>
  </si>
  <si>
    <t>2020:Q3</t>
  </si>
  <si>
    <t>2020:S1</t>
  </si>
  <si>
    <t>2020:Q1</t>
  </si>
  <si>
    <t>2019:A</t>
  </si>
  <si>
    <t>2019:Q3</t>
  </si>
  <si>
    <t>2019:S1</t>
  </si>
  <si>
    <t>2019:Q1</t>
  </si>
  <si>
    <t>2018:A</t>
  </si>
  <si>
    <t>2018:Q3</t>
  </si>
  <si>
    <t>2018:S1</t>
  </si>
  <si>
    <t>2018:Q1</t>
  </si>
  <si>
    <t>2017:A</t>
  </si>
  <si>
    <t>2017:Q3</t>
  </si>
  <si>
    <t>2017:S1</t>
  </si>
  <si>
    <t>2017:Q1</t>
  </si>
  <si>
    <t>2016:A</t>
  </si>
  <si>
    <t>2016:Q3</t>
  </si>
  <si>
    <t>2016:S1</t>
  </si>
  <si>
    <t>2016:Q1</t>
  </si>
  <si>
    <t>2015:A</t>
  </si>
  <si>
    <t>2015:Q3</t>
  </si>
  <si>
    <t>2015:S1</t>
  </si>
  <si>
    <t>2015:Q1</t>
  </si>
  <si>
    <t>2014:A</t>
  </si>
  <si>
    <t>2014:Q3</t>
  </si>
  <si>
    <t>2014:S1</t>
  </si>
  <si>
    <t>2014:Q1</t>
  </si>
  <si>
    <t>2013:A</t>
  </si>
  <si>
    <t>2013:Q3</t>
  </si>
  <si>
    <t>2013:S1</t>
  </si>
  <si>
    <t>2013:Q1</t>
  </si>
  <si>
    <t>2012:A</t>
  </si>
  <si>
    <t>2012:Q3</t>
  </si>
  <si>
    <t>2012:S1</t>
  </si>
  <si>
    <t>2012:Q1</t>
  </si>
  <si>
    <t>2011:A</t>
  </si>
  <si>
    <t>2011:Q3</t>
  </si>
  <si>
    <t>2011:S1</t>
  </si>
  <si>
    <t>2011:Q1</t>
  </si>
  <si>
    <t>2010:A</t>
  </si>
  <si>
    <t>2010:Q3</t>
  </si>
  <si>
    <t>2010:S1</t>
  </si>
  <si>
    <t>2010:Q1</t>
  </si>
  <si>
    <t>2009:A</t>
  </si>
  <si>
    <t>2009:Q3</t>
  </si>
  <si>
    <t>2009:S1</t>
  </si>
  <si>
    <t>2009:Q1</t>
  </si>
  <si>
    <t>2008:A</t>
  </si>
  <si>
    <t>2008:S2</t>
  </si>
  <si>
    <t>2008:Q3</t>
  </si>
  <si>
    <t>2008:S1</t>
  </si>
  <si>
    <t>2008:Q1</t>
  </si>
  <si>
    <t>2007:A</t>
  </si>
  <si>
    <t>2007:S2</t>
  </si>
  <si>
    <t>2007:Q4</t>
  </si>
  <si>
    <t>2007:Q3</t>
  </si>
  <si>
    <t>Bef-mkt</t>
  </si>
  <si>
    <t>2007:S1</t>
  </si>
  <si>
    <t>2007:Q1</t>
  </si>
  <si>
    <t>2006:A</t>
  </si>
  <si>
    <t>2006:Q4</t>
  </si>
  <si>
    <t>2006:Q3</t>
  </si>
  <si>
    <t>2006:S1</t>
  </si>
  <si>
    <t>2006:Q1</t>
  </si>
  <si>
    <t>2005:A</t>
  </si>
  <si>
    <t>2005:Q4</t>
  </si>
  <si>
    <t>2005:Q3</t>
  </si>
  <si>
    <t>2005:S1</t>
  </si>
  <si>
    <t>2005:Q1</t>
  </si>
  <si>
    <t>2004:A</t>
  </si>
  <si>
    <t>2004:Q4</t>
  </si>
  <si>
    <t>2004:Q3</t>
  </si>
  <si>
    <t>2004:S1</t>
  </si>
  <si>
    <t>2004:Q1</t>
  </si>
  <si>
    <t>2003:A</t>
  </si>
  <si>
    <t>2003:Q4</t>
  </si>
  <si>
    <t>2003:Q3</t>
  </si>
  <si>
    <t>2003:Q2</t>
  </si>
  <si>
    <t>2003:Q1</t>
  </si>
  <si>
    <t>2002:A</t>
  </si>
  <si>
    <t>2002:Q4</t>
  </si>
  <si>
    <t>2002:Q3</t>
  </si>
  <si>
    <t>2002:Q2</t>
  </si>
  <si>
    <t>2002:Q1</t>
  </si>
  <si>
    <t>2001:A</t>
  </si>
  <si>
    <t>2001:Q4</t>
  </si>
  <si>
    <t>2001:Q3</t>
  </si>
  <si>
    <t>2001:S1</t>
  </si>
  <si>
    <t>2001:Q2</t>
  </si>
  <si>
    <t>2001:Q1</t>
  </si>
  <si>
    <t>2000:A</t>
  </si>
  <si>
    <t>2000:Q4</t>
  </si>
  <si>
    <t>2000:Q2</t>
  </si>
  <si>
    <t>1999:A</t>
  </si>
  <si>
    <t>1999:Q4</t>
  </si>
  <si>
    <t>1999:Q3</t>
  </si>
  <si>
    <t>Aerospace &amp; Defense</t>
  </si>
  <si>
    <t>Application Software</t>
  </si>
  <si>
    <t>Asset Management &amp; Custody Banks</t>
  </si>
  <si>
    <t>Asset Management &amp; Custody Ban</t>
  </si>
  <si>
    <t>Consumer Staples Merchandise Retail</t>
  </si>
  <si>
    <t>Consumer Staples Merchandise R</t>
  </si>
  <si>
    <t>Diversified Capital Markets</t>
  </si>
  <si>
    <t>Drug Retail</t>
  </si>
  <si>
    <t>Electrical Components &amp; Equipment</t>
  </si>
  <si>
    <t>Electrical Components &amp; Equipm</t>
  </si>
  <si>
    <t>Electronic Components</t>
  </si>
  <si>
    <t>Electronic Equipment &amp; Instruments</t>
  </si>
  <si>
    <t>Electronic Equipment &amp; Instrum</t>
  </si>
  <si>
    <t>Financial Exchanges &amp; Data</t>
  </si>
  <si>
    <t>Food Distributors</t>
  </si>
  <si>
    <t>Food Retail</t>
  </si>
  <si>
    <t>Health Care Equipment</t>
  </si>
  <si>
    <t>Home Improvement Retail</t>
  </si>
  <si>
    <t>Industrial Conglomerates</t>
  </si>
  <si>
    <t>Industrial REITs</t>
  </si>
  <si>
    <t>Insurance Brokers</t>
  </si>
  <si>
    <t>Internet Services &amp; Infrastructure</t>
  </si>
  <si>
    <t>Internet Services &amp; Infrastruc</t>
  </si>
  <si>
    <t>Investment Banking &amp; Brokerage</t>
  </si>
  <si>
    <t>Life Sciences Tools &amp; Services</t>
  </si>
  <si>
    <t>Personal Care Products</t>
  </si>
  <si>
    <t>Pharmaceuticals</t>
  </si>
  <si>
    <t>Semiconductor Materials &amp; Equipment</t>
  </si>
  <si>
    <t>Semiconductor Materials &amp; Equi</t>
  </si>
  <si>
    <t>Semiconductors</t>
  </si>
  <si>
    <t>Systems Software</t>
  </si>
  <si>
    <t>Technology Distributors</t>
  </si>
  <si>
    <t>Technology Hardware, Storage &amp; Peripherals</t>
  </si>
  <si>
    <t>Technology Hardware, Storage &amp;</t>
  </si>
  <si>
    <t>Trading Companies &amp; Distributors</t>
  </si>
  <si>
    <t>Trading Companies &amp; Distributo</t>
  </si>
  <si>
    <t>Apparel Retail</t>
  </si>
  <si>
    <t>Health Care Facilities</t>
  </si>
  <si>
    <t>Advertising</t>
  </si>
  <si>
    <t>Agricultural &amp; Farm Machinery</t>
  </si>
  <si>
    <t>Agricultural Products &amp; Services</t>
  </si>
  <si>
    <t>Agricultural Products &amp; Servic</t>
  </si>
  <si>
    <t>Air Freight &amp; Logistics</t>
  </si>
  <si>
    <t>Airport Services</t>
  </si>
  <si>
    <t>Alternative Carriers</t>
  </si>
  <si>
    <t>Aluminum</t>
  </si>
  <si>
    <t>Automobile Manufacturers</t>
  </si>
  <si>
    <t>Broadcasting</t>
  </si>
  <si>
    <t>Coal &amp; Consumable Fuels</t>
  </si>
  <si>
    <t>Commercial Printing</t>
  </si>
  <si>
    <t>Commodity Chemicals</t>
  </si>
  <si>
    <t>Computer &amp; Electronics Retail</t>
  </si>
  <si>
    <t>Consumer Electronics</t>
  </si>
  <si>
    <t>Consumer Finance</t>
  </si>
  <si>
    <t>Copper</t>
  </si>
  <si>
    <t>Diversified Banks</t>
  </si>
  <si>
    <t>Diversified Chemicals</t>
  </si>
  <si>
    <t>Diversified Metals &amp; Mining</t>
  </si>
  <si>
    <t>Education Services</t>
  </si>
  <si>
    <t>Fertilizers &amp; Agricultural Chemicals</t>
  </si>
  <si>
    <t>Fertilizers &amp; Agricultural Che</t>
  </si>
  <si>
    <t>Forest Products</t>
  </si>
  <si>
    <t>Gas Utilities</t>
  </si>
  <si>
    <t>Gold</t>
  </si>
  <si>
    <t>Heavy Electrical Equipment</t>
  </si>
  <si>
    <t>Highways &amp; Railtracks</t>
  </si>
  <si>
    <t>Home Furnishings</t>
  </si>
  <si>
    <t>Hotel &amp; Resort REITs</t>
  </si>
  <si>
    <t>Hotels, Resorts &amp; Cruise Lines</t>
  </si>
  <si>
    <t>Independent Power Producers &amp; Energy Traders</t>
  </si>
  <si>
    <t xml:space="preserve">Independent Power Producers &amp; </t>
  </si>
  <si>
    <t>Industrial Gases</t>
  </si>
  <si>
    <t>Integrated Oil &amp; Gas</t>
  </si>
  <si>
    <t>Interactive Home Entertainment</t>
  </si>
  <si>
    <t>Interactive Media &amp; Services</t>
  </si>
  <si>
    <t>IT Consulting &amp; Other Services</t>
  </si>
  <si>
    <t>Life &amp; Health Insurance</t>
  </si>
  <si>
    <t>Managed Health Care</t>
  </si>
  <si>
    <t>Marine Ports &amp; Services</t>
  </si>
  <si>
    <t>Marine Transportation</t>
  </si>
  <si>
    <t>Mortgage REITs</t>
  </si>
  <si>
    <t>Motorcycle Manufacturers</t>
  </si>
  <si>
    <t>Movies &amp; Entertainment</t>
  </si>
  <si>
    <t>Multi-line Insurance</t>
  </si>
  <si>
    <t>Multi-Utilities</t>
  </si>
  <si>
    <t>Office REITs</t>
  </si>
  <si>
    <t>Oil &amp; Gas Drilling</t>
  </si>
  <si>
    <t>Oil &amp; Gas Equipment &amp; Services</t>
  </si>
  <si>
    <t>Oil &amp; Gas Exploration &amp; Production</t>
  </si>
  <si>
    <t>Oil &amp; Gas Exploration &amp; Produc</t>
  </si>
  <si>
    <t>Oil &amp; Gas Refining &amp; Marketing</t>
  </si>
  <si>
    <t>Oil &amp; Gas Storage &amp; Transportation</t>
  </si>
  <si>
    <t>Oil &amp; Gas Storage &amp; Transporta</t>
  </si>
  <si>
    <t>Packaged Foods &amp; Meats</t>
  </si>
  <si>
    <t>Paper &amp; Plastic Packaging Products &amp; Materials</t>
  </si>
  <si>
    <t>Paper &amp; Plastic Packaging Prod</t>
  </si>
  <si>
    <t>Paper Products</t>
  </si>
  <si>
    <t>Passenger Airlines</t>
  </si>
  <si>
    <t>Passenger Ground Transportation</t>
  </si>
  <si>
    <t>Passenger Ground Transportatio</t>
  </si>
  <si>
    <t>Precious Metals &amp; Minerals</t>
  </si>
  <si>
    <t>Property &amp; Casualty Insurance</t>
  </si>
  <si>
    <t>Publishing</t>
  </si>
  <si>
    <t>Rail Transportation</t>
  </si>
  <si>
    <t>Regional Banks</t>
  </si>
  <si>
    <t>Reinsurance</t>
  </si>
  <si>
    <t>Renewable Electricity</t>
  </si>
  <si>
    <t>Retail REITs</t>
  </si>
  <si>
    <t>Security &amp; Alarm Services</t>
  </si>
  <si>
    <t>Silver</t>
  </si>
  <si>
    <t>Single-Family Residential REITs</t>
  </si>
  <si>
    <t>Single-Family Residential REIT</t>
  </si>
  <si>
    <t>Specialized Finance</t>
  </si>
  <si>
    <t>Specialty Chemicals</t>
  </si>
  <si>
    <t>Steel</t>
  </si>
  <si>
    <t>Textiles</t>
  </si>
  <si>
    <t>Tires &amp; Rubber</t>
  </si>
  <si>
    <t>Tobacco</t>
  </si>
  <si>
    <t>Apparel, Accessories &amp; Luxury Goods</t>
  </si>
  <si>
    <t xml:space="preserve">Apparel, Accessories &amp; Luxury </t>
  </si>
  <si>
    <t>Automotive Parts &amp; Equipment</t>
  </si>
  <si>
    <t>Automotive Retail</t>
  </si>
  <si>
    <t>Biotechnology</t>
  </si>
  <si>
    <t>Brewers</t>
  </si>
  <si>
    <t>Broadline Retail</t>
  </si>
  <si>
    <t>Building Products</t>
  </si>
  <si>
    <t>Cable &amp; Satellite</t>
  </si>
  <si>
    <t>Cargo Ground Transportation</t>
  </si>
  <si>
    <t>Casinos &amp; Gaming</t>
  </si>
  <si>
    <t>Communications Equipment</t>
  </si>
  <si>
    <t>Construction &amp; Engineering</t>
  </si>
  <si>
    <t>Construction Machinery &amp; Heavy Transportation Equipment</t>
  </si>
  <si>
    <t>Construction Machinery &amp; Heavy</t>
  </si>
  <si>
    <t>Construction Materials</t>
  </si>
  <si>
    <t>Data Processing &amp; Outsourced Services</t>
  </si>
  <si>
    <t>Data Processing &amp; Outsourced S</t>
  </si>
  <si>
    <t>Distillers &amp; Vintners</t>
  </si>
  <si>
    <t>Distributors</t>
  </si>
  <si>
    <t>Diversified Financial Services</t>
  </si>
  <si>
    <t>Diversified Real Estate Activities</t>
  </si>
  <si>
    <t>Diversified Real Estate Activi</t>
  </si>
  <si>
    <t>Diversified REITs</t>
  </si>
  <si>
    <t>Diversified Support Services</t>
  </si>
  <si>
    <t>Electric Utilities</t>
  </si>
  <si>
    <t>Electronic Manufacturing Services</t>
  </si>
  <si>
    <t>Electronic Manufacturing Servi</t>
  </si>
  <si>
    <t>Environmental &amp; Facilities Services</t>
  </si>
  <si>
    <t>Environmental &amp; Facilities Ser</t>
  </si>
  <si>
    <t>Footwear</t>
  </si>
  <si>
    <t>Health Care Distributors</t>
  </si>
  <si>
    <t>Health Care REITs</t>
  </si>
  <si>
    <t>Health Care Services</t>
  </si>
  <si>
    <t>Health Care Supplies</t>
  </si>
  <si>
    <t>Health Care Technology</t>
  </si>
  <si>
    <t>Homebuilding</t>
  </si>
  <si>
    <t>Homefurnishing Retail</t>
  </si>
  <si>
    <t>Household Appliances</t>
  </si>
  <si>
    <t>Household Products</t>
  </si>
  <si>
    <t>Human Resource &amp; Employment Services</t>
  </si>
  <si>
    <t>Human Resource &amp; Employment Se</t>
  </si>
  <si>
    <t>Industrial Machinery &amp; Supplies &amp; Components</t>
  </si>
  <si>
    <t>Industrial Machinery &amp; Supplie</t>
  </si>
  <si>
    <t>Integrated Telecommunication Services</t>
  </si>
  <si>
    <t>Integrated Telecommunication S</t>
  </si>
  <si>
    <t>Leisure Facilities</t>
  </si>
  <si>
    <t>Leisure Products</t>
  </si>
  <si>
    <t>Metal, Glass &amp; Plastic Containers</t>
  </si>
  <si>
    <t>Metal, Glass &amp; Plastic Contain</t>
  </si>
  <si>
    <t>Multi-Family Residential REITs</t>
  </si>
  <si>
    <t>Multi-Sector Holdings</t>
  </si>
  <si>
    <t>Office Services &amp; Supplies</t>
  </si>
  <si>
    <t>Other Specialized REITs</t>
  </si>
  <si>
    <t>Other Specialty Retail</t>
  </si>
  <si>
    <t>Real Estate Development</t>
  </si>
  <si>
    <t>Real Estate Operating Companies</t>
  </si>
  <si>
    <t>Real Estate Operating Companie</t>
  </si>
  <si>
    <t>Real Estate Services</t>
  </si>
  <si>
    <t>Research &amp; Consulting Services</t>
  </si>
  <si>
    <t>Restaurants</t>
  </si>
  <si>
    <t>Soft Drinks &amp; Non-alcoholic Beverages</t>
  </si>
  <si>
    <t>Soft Drinks &amp; Non-alcoholic Be</t>
  </si>
  <si>
    <t>Telecom Tower REITs</t>
  </si>
  <si>
    <t>Timber REITs</t>
  </si>
  <si>
    <t>Transaction &amp; Payment Processing Services</t>
  </si>
  <si>
    <t>Transaction &amp; Payment Processi</t>
  </si>
  <si>
    <t>Water Utilities</t>
  </si>
  <si>
    <t>Wireless Telecommunication Services</t>
  </si>
  <si>
    <t>Wireless Telecommunication 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</si>
</sst>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0.0"/>
    <numFmt numFmtId="166" formatCode="#,##0.0"/>
    <numFmt numFmtId="167" formatCode="0.0%"/>
    <numFmt numFmtId="168" formatCode="[&gt;1000]#,##0;[&lt;1000]0.00"/>
    <numFmt numFmtId="169" formatCode="[&gt;1000]#,##0;[&lt;1000]0.0"/>
    <numFmt numFmtId="170" formatCode="[&gt;=1000]#,##0;[&lt;1000]0.00"/>
    <numFmt numFmtId="171" formatCode="[&gt;=100]#,##0;[&lt;100]0.0"/>
    <numFmt numFmtId="172" formatCode="[&gt;=1000]#,##0;[&lt;1000]0.0"/>
    <numFmt numFmtId="173" formatCode="[&gt;100]#,##0;[&lt;100]0.00"/>
    <numFmt numFmtId="174" formatCode="[&gt;=10]#,##0;[&lt;10]0.00"/>
    <numFmt numFmtId="175" formatCode="[&gt;=100]#,##0;[&lt;100]0.00"/>
    <numFmt numFmtId="176" formatCode="#,##0.000"/>
    <numFmt numFmtId="177" formatCode="[&gt;=10]#,##0.0;[&lt;10]0.00"/>
    <numFmt numFmtId="178" formatCode="[&gt;100]#,##0;[&lt;100]0.0"/>
    <numFmt numFmtId="179" formatCode="_(&quot;$&quot;* #,##0_);_(&quot;$&quot;* \(#,##0\);_(&quot;$&quot;* &quot;-&quot;??_);_(@_)"/>
    <numFmt numFmtId="180" formatCode="#."/>
    <numFmt numFmtId="181" formatCode="General_)"/>
    <numFmt numFmtId="182" formatCode=".000"/>
    <numFmt numFmtId="183" formatCode="#,##0.0;\(#,##0.0\)"/>
    <numFmt numFmtId="184" formatCode="mm/yyyy"/>
    <numFmt numFmtId="185" formatCode="_(* #,##0_);_(* \(#,##0\);_(* &quot;-&quot;??_);_(@_)"/>
    <numFmt numFmtId="186" formatCode="_(&quot;$&quot;* #,##0.000_);_(&quot;$&quot;* \(#,##0.000\);_(&quot;$&quot;* &quot;-&quot;??_);_(@_)"/>
    <numFmt numFmtId="187" formatCode="0.000%"/>
    <numFmt numFmtId="188" formatCode="_(* #,##0.000_);_(* \(#,##0.000\);_(* &quot;-&quot;??_);_(@_)"/>
    <numFmt numFmtId="189" formatCode="_(* #,##0.0_);_(* \(#,##0.0\);_(* &quot;-&quot;??_);_(@_)"/>
    <numFmt numFmtId="190" formatCode="&quot;$&quot;#,##0.0_);\(&quot;$&quot;#,##0.0\)"/>
    <numFmt numFmtId="191" formatCode="#,##0.0_);\(#,##0.0\)"/>
    <numFmt numFmtId="192" formatCode="0.0_);\(0.0\)"/>
    <numFmt numFmtId="193" formatCode="0.00\x"/>
    <numFmt numFmtId="194" formatCode="0.0\x"/>
    <numFmt numFmtId="195" formatCode="00000"/>
    <numFmt numFmtId="196" formatCode="&quot;$&quot;#,##0.000_);\(&quot;$&quot;#,##0.000\)"/>
    <numFmt numFmtId="197" formatCode="#,##0.000_);\(#,##0.000\)"/>
    <numFmt numFmtId="198" formatCode="&quot;$&quot;#,##0.0"/>
    <numFmt numFmtId="199" formatCode="&quot;$&quot;#,##0.00"/>
    <numFmt numFmtId="200" formatCode="0.0000%"/>
    <numFmt numFmtId="201" formatCode="mm/dd/yy"/>
    <numFmt numFmtId="202" formatCode="0_);\(0\)"/>
    <numFmt numFmtId="203" formatCode="_(* ###0_);_(* \(###0\);_(@_)"/>
    <numFmt numFmtId="204" formatCode="_(* #,##0.00000_);_(* \(#,##0.00000\);_(* &quot;-&quot;??_);_(@_)"/>
    <numFmt numFmtId="205" formatCode="#0.0\x"/>
    <numFmt numFmtId="206" formatCode="&quot;$&quot;#,##0.0_);[Red]\(&quot;$&quot;#,##0.0\)"/>
    <numFmt numFmtId="207" formatCode="_(* #,##0.0_);_(* \(#,##0.0\);_(* &quot;-&quot;?_);_(@_)"/>
    <numFmt numFmtId="208" formatCode="_-* #,##0_-;\-* #,##0_-;_-* &quot;-&quot;_-;_-@_-"/>
    <numFmt numFmtId="209" formatCode="_-* #,##0.00_-;\-* #,##0.00_-;_-* &quot;-&quot;??_-;_-@_-"/>
    <numFmt numFmtId="210" formatCode="0.000\x"/>
    <numFmt numFmtId="211" formatCode="&quot;$&quot;#,##0.0;\(&quot;$&quot;#,##0\)"/>
    <numFmt numFmtId="212" formatCode="&quot;$&quot;0"/>
    <numFmt numFmtId="213" formatCode="_(&quot;Quarterly:&quot;* 0.000%"/>
    <numFmt numFmtId="214" formatCode="_-&quot;öS&quot;\ * #,##0_-;\-&quot;öS&quot;\ * #,##0_-;_-&quot;öS&quot;\ * &quot;-&quot;_-;_-@_-"/>
    <numFmt numFmtId="215" formatCode="_-&quot;öS&quot;\ * #,##0.00_-;\-&quot;öS&quot;\ * #,##0.00_-;_-&quot;öS&quot;\ * &quot;-&quot;??_-;_-@_-"/>
    <numFmt numFmtId="216" formatCode="0.00_);\(0.00\);0.00"/>
    <numFmt numFmtId="217" formatCode="_([$€-2]* #,##0.00_);_([$€-2]* \(#,##0.00\);_([$€-2]* &quot;-&quot;??_)"/>
    <numFmt numFmtId="218" formatCode="0.00_);\(0.00\);0.00_)"/>
    <numFmt numFmtId="219" formatCode="0.00_)"/>
    <numFmt numFmtId="220" formatCode="0.00\%;\-0.00\%;0.00\%"/>
    <numFmt numFmtId="221" formatCode="0.00\x;\-0.00\x;0.00\x"/>
    <numFmt numFmtId="222" formatCode="##0.00000"/>
  </numFmts>
  <fonts count="9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sz val="1"/>
      <color indexed="16"/>
      <name val="Courier"/>
      <family val="3"/>
    </font>
    <font>
      <b/>
      <sz val="10"/>
      <name val="Arial"/>
      <family val="2"/>
    </font>
    <font>
      <sz val="8"/>
      <color indexed="12"/>
      <name val="Tms Rmn"/>
    </font>
    <font>
      <sz val="8"/>
      <name val="Times New Roman"/>
      <family val="1"/>
    </font>
    <font>
      <sz val="10"/>
      <name val="Times New Roman"/>
      <family val="1"/>
    </font>
    <font>
      <sz val="12"/>
      <name val="Book Antiqua"/>
      <family val="1"/>
    </font>
    <font>
      <sz val="11"/>
      <color indexed="12"/>
      <name val="Book Antiqua"/>
      <family val="1"/>
    </font>
    <font>
      <sz val="10"/>
      <name val="Univers (W1)"/>
    </font>
    <font>
      <sz val="10"/>
      <name val="Helv"/>
    </font>
    <font>
      <sz val="10.5"/>
      <name val="Times New Roman"/>
      <family val="1"/>
    </font>
    <font>
      <b/>
      <sz val="8"/>
      <name val="Palatino"/>
      <family val="1"/>
    </font>
    <font>
      <b/>
      <sz val="26"/>
      <name val="Times New Roman"/>
      <family val="1"/>
    </font>
    <font>
      <b/>
      <sz val="18"/>
      <name val="Times New Roman"/>
      <family val="1"/>
    </font>
    <font>
      <b/>
      <sz val="9"/>
      <name val="Arial"/>
      <family val="2"/>
    </font>
    <font>
      <sz val="7"/>
      <name val="Times New Roman"/>
      <family val="1"/>
    </font>
    <font>
      <u/>
      <sz val="11"/>
      <color theme="10"/>
      <name val="Calibri"/>
      <family val="2"/>
      <scheme val="minor"/>
    </font>
    <font>
      <b/>
      <sz val="11"/>
      <color indexed="9"/>
      <name val="Calibri"/>
      <family val="2"/>
    </font>
    <font>
      <sz val="10"/>
      <color rgb="FF000000"/>
      <name val="Arial"/>
      <family val="2"/>
    </font>
    <font>
      <sz val="10"/>
      <color indexed="0"/>
      <name val="Arial"/>
      <family val="2"/>
    </font>
    <font>
      <sz val="11"/>
      <color indexed="8"/>
      <name val="Calibri"/>
      <family val="2"/>
    </font>
    <font>
      <sz val="18"/>
      <color theme="3"/>
      <name val="Cambria"/>
      <family val="2"/>
      <scheme val="maj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.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24"/>
      <name val="Arial"/>
      <family val="2"/>
    </font>
    <font>
      <sz val="10"/>
      <color indexed="32"/>
      <name val="Arial"/>
      <family val="2"/>
    </font>
    <font>
      <b/>
      <i/>
      <sz val="16"/>
      <name val="Helv"/>
    </font>
    <font>
      <sz val="10"/>
      <color indexed="23"/>
      <name val="MS Sans Serif"/>
      <family val="2"/>
    </font>
    <font>
      <sz val="10"/>
      <name val="ApFont"/>
      <charset val="222"/>
    </font>
    <font>
      <sz val="10"/>
      <name val="Arial Narrow"/>
      <family val="2"/>
    </font>
    <font>
      <sz val="10"/>
      <color theme="1"/>
      <name val="Calibri"/>
      <family val="2"/>
    </font>
    <font>
      <sz val="13.5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3" tint="0.79998168889431442"/>
      <name val="Calibri"/>
      <family val="2"/>
      <scheme val="minor"/>
    </font>
    <font>
      <b/>
      <sz val="9"/>
      <color theme="3" tint="0.79998168889431442"/>
      <name val="Calibri"/>
      <family val="2"/>
      <scheme val="minor"/>
    </font>
    <font>
      <b/>
      <sz val="9"/>
      <color rgb="FF00206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7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3"/>
        <bgColor indexed="64"/>
      </patternFill>
    </fill>
    <fill>
      <patternFill patternType="lightGray">
        <fgColor indexed="12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4F7F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6F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theme="7" tint="0.59999389629810485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15">
    <xf numFmtId="0" fontId="0" fillId="0" borderId="0"/>
    <xf numFmtId="0" fontId="58" fillId="0" borderId="0"/>
    <xf numFmtId="43" fontId="58" fillId="0" borderId="0"/>
    <xf numFmtId="44" fontId="58" fillId="0" borderId="0"/>
    <xf numFmtId="9" fontId="58" fillId="0" borderId="0"/>
    <xf numFmtId="0" fontId="2" fillId="0" borderId="0"/>
    <xf numFmtId="0" fontId="2" fillId="0" borderId="0"/>
    <xf numFmtId="0" fontId="20" fillId="0" borderId="0"/>
    <xf numFmtId="0" fontId="23" fillId="0" borderId="0"/>
    <xf numFmtId="43" fontId="19" fillId="0" borderId="0"/>
    <xf numFmtId="180" fontId="21" fillId="0" borderId="0">
      <protection locked="0"/>
    </xf>
    <xf numFmtId="9" fontId="19" fillId="0" borderId="0"/>
    <xf numFmtId="180" fontId="21" fillId="0" borderId="0">
      <protection locked="0"/>
    </xf>
    <xf numFmtId="0" fontId="19" fillId="0" borderId="0"/>
    <xf numFmtId="180" fontId="21" fillId="0" borderId="0">
      <protection locked="0"/>
    </xf>
    <xf numFmtId="180" fontId="21" fillId="0" borderId="0">
      <protection locked="0"/>
    </xf>
    <xf numFmtId="0" fontId="58" fillId="0" borderId="0"/>
    <xf numFmtId="0" fontId="58" fillId="0" borderId="0"/>
    <xf numFmtId="0" fontId="58" fillId="0" borderId="0"/>
    <xf numFmtId="0" fontId="2" fillId="0" borderId="0"/>
    <xf numFmtId="0" fontId="2" fillId="8" borderId="8"/>
    <xf numFmtId="0" fontId="58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4" fillId="0" borderId="0"/>
    <xf numFmtId="0" fontId="24" fillId="0" borderId="19"/>
    <xf numFmtId="0" fontId="24" fillId="0" borderId="0"/>
    <xf numFmtId="0" fontId="24" fillId="0" borderId="20"/>
    <xf numFmtId="181" fontId="25" fillId="0" borderId="0"/>
    <xf numFmtId="182" fontId="26" fillId="0" borderId="0"/>
    <xf numFmtId="182" fontId="26" fillId="0" borderId="0"/>
    <xf numFmtId="183" fontId="26" fillId="0" borderId="0"/>
    <xf numFmtId="183" fontId="26" fillId="0" borderId="0"/>
    <xf numFmtId="8" fontId="27" fillId="0" borderId="21">
      <protection locked="0"/>
    </xf>
    <xf numFmtId="14" fontId="58" fillId="0" borderId="0"/>
    <xf numFmtId="184" fontId="58" fillId="0" borderId="0"/>
    <xf numFmtId="185" fontId="58" fillId="0" borderId="0"/>
    <xf numFmtId="39" fontId="58" fillId="0" borderId="0"/>
    <xf numFmtId="15" fontId="58" fillId="0" borderId="0"/>
    <xf numFmtId="186" fontId="58" fillId="0" borderId="0"/>
    <xf numFmtId="187" fontId="58" fillId="0" borderId="0"/>
    <xf numFmtId="7" fontId="58" fillId="0" borderId="0"/>
    <xf numFmtId="188" fontId="58" fillId="0" borderId="0"/>
    <xf numFmtId="167" fontId="58" fillId="0" borderId="0"/>
    <xf numFmtId="189" fontId="58" fillId="0" borderId="0"/>
    <xf numFmtId="0" fontId="58" fillId="0" borderId="0"/>
    <xf numFmtId="190" fontId="58" fillId="0" borderId="0"/>
    <xf numFmtId="9" fontId="58" fillId="0" borderId="0"/>
    <xf numFmtId="191" fontId="58" fillId="0" borderId="0"/>
    <xf numFmtId="192" fontId="58" fillId="0" borderId="0"/>
    <xf numFmtId="44" fontId="58" fillId="0" borderId="0"/>
    <xf numFmtId="193" fontId="58" fillId="0" borderId="0"/>
    <xf numFmtId="10" fontId="58" fillId="0" borderId="0"/>
    <xf numFmtId="5" fontId="58" fillId="0" borderId="0"/>
    <xf numFmtId="17" fontId="58" fillId="0" borderId="0"/>
    <xf numFmtId="194" fontId="58" fillId="0" borderId="0"/>
    <xf numFmtId="195" fontId="58" fillId="0" borderId="0"/>
    <xf numFmtId="196" fontId="58" fillId="0" borderId="0"/>
    <xf numFmtId="197" fontId="58" fillId="0" borderId="0"/>
    <xf numFmtId="198" fontId="58" fillId="0" borderId="0"/>
    <xf numFmtId="199" fontId="58" fillId="0" borderId="0"/>
    <xf numFmtId="8" fontId="58" fillId="0" borderId="0"/>
    <xf numFmtId="200" fontId="58" fillId="0" borderId="0"/>
    <xf numFmtId="201" fontId="58" fillId="0" borderId="0"/>
    <xf numFmtId="202" fontId="58" fillId="0" borderId="0"/>
    <xf numFmtId="203" fontId="58" fillId="0" borderId="0"/>
    <xf numFmtId="1" fontId="58" fillId="0" borderId="0"/>
    <xf numFmtId="165" fontId="58" fillId="0" borderId="0"/>
    <xf numFmtId="2" fontId="58" fillId="0" borderId="0"/>
    <xf numFmtId="204" fontId="58" fillId="0" borderId="0"/>
    <xf numFmtId="181" fontId="58" fillId="0" borderId="0"/>
    <xf numFmtId="205" fontId="58" fillId="0" borderId="0"/>
    <xf numFmtId="206" fontId="58" fillId="0" borderId="0"/>
    <xf numFmtId="49" fontId="58" fillId="0" borderId="0"/>
    <xf numFmtId="37" fontId="58" fillId="0" borderId="0"/>
    <xf numFmtId="43" fontId="58" fillId="0" borderId="0"/>
    <xf numFmtId="3" fontId="58" fillId="0" borderId="0"/>
    <xf numFmtId="207" fontId="58" fillId="0" borderId="0"/>
    <xf numFmtId="208" fontId="28" fillId="0" borderId="0"/>
    <xf numFmtId="209" fontId="28" fillId="0" borderId="0"/>
    <xf numFmtId="210" fontId="26" fillId="0" borderId="0"/>
    <xf numFmtId="12" fontId="29" fillId="0" borderId="0"/>
    <xf numFmtId="0" fontId="30" fillId="0" borderId="0">
      <alignment horizontal="right" vertical="top"/>
    </xf>
    <xf numFmtId="0" fontId="31" fillId="0" borderId="0">
      <alignment horizontal="center"/>
    </xf>
    <xf numFmtId="185" fontId="58" fillId="0" borderId="0">
      <alignment horizontal="right"/>
    </xf>
    <xf numFmtId="0" fontId="32" fillId="0" borderId="0">
      <alignment horizontal="left"/>
    </xf>
    <xf numFmtId="0" fontId="33" fillId="0" borderId="0">
      <alignment horizontal="left"/>
    </xf>
    <xf numFmtId="211" fontId="26" fillId="0" borderId="0"/>
    <xf numFmtId="167" fontId="24" fillId="0" borderId="0"/>
    <xf numFmtId="212" fontId="26" fillId="0" borderId="0"/>
    <xf numFmtId="188" fontId="58" fillId="0" borderId="0">
      <alignment horizontal="right"/>
    </xf>
    <xf numFmtId="165" fontId="58" fillId="0" borderId="0">
      <alignment horizontal="right"/>
    </xf>
    <xf numFmtId="0" fontId="25" fillId="33" borderId="0"/>
    <xf numFmtId="203" fontId="58" fillId="0" borderId="0">
      <alignment horizontal="right"/>
    </xf>
    <xf numFmtId="0" fontId="28" fillId="0" borderId="0"/>
    <xf numFmtId="181" fontId="25" fillId="0" borderId="19"/>
    <xf numFmtId="0" fontId="34" fillId="0" borderId="0">
      <alignment horizontal="center" vertical="center"/>
    </xf>
    <xf numFmtId="0" fontId="34" fillId="0" borderId="0"/>
    <xf numFmtId="0" fontId="22" fillId="0" borderId="0">
      <alignment horizontal="left"/>
    </xf>
    <xf numFmtId="0" fontId="35" fillId="0" borderId="0">
      <alignment horizontal="left" vertical="top"/>
    </xf>
    <xf numFmtId="213" fontId="26" fillId="0" borderId="0">
      <alignment horizontal="center" vertical="center"/>
    </xf>
    <xf numFmtId="40" fontId="29" fillId="0" borderId="0"/>
    <xf numFmtId="214" fontId="28" fillId="0" borderId="0"/>
    <xf numFmtId="215" fontId="28" fillId="0" borderId="0"/>
    <xf numFmtId="181" fontId="24" fillId="0" borderId="0">
      <alignment horizontal="right"/>
    </xf>
    <xf numFmtId="0" fontId="36" fillId="0" borderId="0"/>
    <xf numFmtId="0" fontId="2" fillId="10" borderId="0"/>
    <xf numFmtId="0" fontId="2" fillId="14" borderId="0"/>
    <xf numFmtId="0" fontId="2" fillId="18" borderId="0"/>
    <xf numFmtId="0" fontId="2" fillId="22" borderId="0"/>
    <xf numFmtId="0" fontId="2" fillId="26" borderId="0"/>
    <xf numFmtId="0" fontId="2" fillId="30" borderId="0"/>
    <xf numFmtId="0" fontId="2" fillId="11" borderId="0"/>
    <xf numFmtId="0" fontId="2" fillId="15" borderId="0"/>
    <xf numFmtId="0" fontId="2" fillId="19" borderId="0"/>
    <xf numFmtId="0" fontId="2" fillId="23" borderId="0"/>
    <xf numFmtId="0" fontId="2" fillId="27" borderId="0"/>
    <xf numFmtId="0" fontId="2" fillId="31" borderId="0"/>
    <xf numFmtId="0" fontId="37" fillId="34" borderId="0"/>
    <xf numFmtId="43" fontId="58" fillId="0" borderId="0"/>
    <xf numFmtId="43" fontId="58" fillId="0" borderId="0"/>
    <xf numFmtId="43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3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39" fillId="0" borderId="0"/>
    <xf numFmtId="0" fontId="20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0" fillId="0" borderId="0"/>
    <xf numFmtId="0" fontId="58" fillId="0" borderId="0"/>
    <xf numFmtId="0" fontId="58" fillId="0" borderId="0"/>
    <xf numFmtId="0" fontId="40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2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1" fillId="0" borderId="0"/>
    <xf numFmtId="9" fontId="2" fillId="0" borderId="0"/>
    <xf numFmtId="43" fontId="58" fillId="0" borderId="0"/>
    <xf numFmtId="44" fontId="58" fillId="0" borderId="0"/>
    <xf numFmtId="9" fontId="58" fillId="0" borderId="0"/>
    <xf numFmtId="43" fontId="58" fillId="0" borderId="0"/>
    <xf numFmtId="0" fontId="58" fillId="0" borderId="0"/>
    <xf numFmtId="9" fontId="58" fillId="0" borderId="0"/>
    <xf numFmtId="44" fontId="58" fillId="0" borderId="0"/>
    <xf numFmtId="44" fontId="58" fillId="0" borderId="0"/>
    <xf numFmtId="43" fontId="58" fillId="0" borderId="0"/>
    <xf numFmtId="9" fontId="58" fillId="0" borderId="0"/>
    <xf numFmtId="43" fontId="58" fillId="0" borderId="0"/>
    <xf numFmtId="0" fontId="19" fillId="0" borderId="0"/>
    <xf numFmtId="43" fontId="19" fillId="0" borderId="0"/>
    <xf numFmtId="0" fontId="58" fillId="0" borderId="0"/>
    <xf numFmtId="0" fontId="58" fillId="0" borderId="0"/>
    <xf numFmtId="43" fontId="2" fillId="0" borderId="0"/>
    <xf numFmtId="0" fontId="58" fillId="0" borderId="0"/>
    <xf numFmtId="43" fontId="58" fillId="0" borderId="0"/>
    <xf numFmtId="44" fontId="58" fillId="0" borderId="0"/>
    <xf numFmtId="9" fontId="58" fillId="0" borderId="0"/>
    <xf numFmtId="0" fontId="2" fillId="0" borderId="0"/>
    <xf numFmtId="43" fontId="2" fillId="0" borderId="0"/>
    <xf numFmtId="9" fontId="2" fillId="0" borderId="0"/>
    <xf numFmtId="0" fontId="60" fillId="10" borderId="0"/>
    <xf numFmtId="0" fontId="60" fillId="10" borderId="0"/>
    <xf numFmtId="0" fontId="60" fillId="10" borderId="0"/>
    <xf numFmtId="0" fontId="60" fillId="10" borderId="0"/>
    <xf numFmtId="0" fontId="60" fillId="10" borderId="0"/>
    <xf numFmtId="0" fontId="2" fillId="10" borderId="0"/>
    <xf numFmtId="0" fontId="2" fillId="10" borderId="0"/>
    <xf numFmtId="0" fontId="2" fillId="10" borderId="0"/>
    <xf numFmtId="0" fontId="60" fillId="14" borderId="0"/>
    <xf numFmtId="0" fontId="60" fillId="14" borderId="0"/>
    <xf numFmtId="0" fontId="60" fillId="14" borderId="0"/>
    <xf numFmtId="0" fontId="60" fillId="14" borderId="0"/>
    <xf numFmtId="0" fontId="60" fillId="14" borderId="0"/>
    <xf numFmtId="0" fontId="2" fillId="14" borderId="0"/>
    <xf numFmtId="0" fontId="2" fillId="14" borderId="0"/>
    <xf numFmtId="0" fontId="2" fillId="14" borderId="0"/>
    <xf numFmtId="0" fontId="60" fillId="18" borderId="0"/>
    <xf numFmtId="0" fontId="60" fillId="18" borderId="0"/>
    <xf numFmtId="0" fontId="60" fillId="18" borderId="0"/>
    <xf numFmtId="0" fontId="60" fillId="18" borderId="0"/>
    <xf numFmtId="0" fontId="60" fillId="18" borderId="0"/>
    <xf numFmtId="0" fontId="2" fillId="18" borderId="0"/>
    <xf numFmtId="0" fontId="2" fillId="18" borderId="0"/>
    <xf numFmtId="0" fontId="2" fillId="18" borderId="0"/>
    <xf numFmtId="0" fontId="60" fillId="22" borderId="0"/>
    <xf numFmtId="0" fontId="60" fillId="22" borderId="0"/>
    <xf numFmtId="0" fontId="60" fillId="22" borderId="0"/>
    <xf numFmtId="0" fontId="60" fillId="22" borderId="0"/>
    <xf numFmtId="0" fontId="60" fillId="22" borderId="0"/>
    <xf numFmtId="0" fontId="2" fillId="22" borderId="0"/>
    <xf numFmtId="0" fontId="2" fillId="22" borderId="0"/>
    <xf numFmtId="0" fontId="2" fillId="22" borderId="0"/>
    <xf numFmtId="0" fontId="60" fillId="26" borderId="0"/>
    <xf numFmtId="0" fontId="60" fillId="26" borderId="0"/>
    <xf numFmtId="0" fontId="60" fillId="26" borderId="0"/>
    <xf numFmtId="0" fontId="60" fillId="26" borderId="0"/>
    <xf numFmtId="0" fontId="60" fillId="26" borderId="0"/>
    <xf numFmtId="0" fontId="2" fillId="26" borderId="0"/>
    <xf numFmtId="0" fontId="2" fillId="26" borderId="0"/>
    <xf numFmtId="0" fontId="2" fillId="26" borderId="0"/>
    <xf numFmtId="0" fontId="60" fillId="30" borderId="0"/>
    <xf numFmtId="0" fontId="60" fillId="30" borderId="0"/>
    <xf numFmtId="0" fontId="60" fillId="30" borderId="0"/>
    <xf numFmtId="0" fontId="60" fillId="30" borderId="0"/>
    <xf numFmtId="0" fontId="60" fillId="30" borderId="0"/>
    <xf numFmtId="0" fontId="2" fillId="30" borderId="0"/>
    <xf numFmtId="0" fontId="2" fillId="30" borderId="0"/>
    <xf numFmtId="0" fontId="2" fillId="30" borderId="0"/>
    <xf numFmtId="0" fontId="60" fillId="11" borderId="0"/>
    <xf numFmtId="0" fontId="60" fillId="11" borderId="0"/>
    <xf numFmtId="0" fontId="60" fillId="11" borderId="0"/>
    <xf numFmtId="0" fontId="60" fillId="11" borderId="0"/>
    <xf numFmtId="0" fontId="60" fillId="11" borderId="0"/>
    <xf numFmtId="0" fontId="2" fillId="11" borderId="0"/>
    <xf numFmtId="0" fontId="2" fillId="11" borderId="0"/>
    <xf numFmtId="0" fontId="2" fillId="11" borderId="0"/>
    <xf numFmtId="0" fontId="60" fillId="15" borderId="0"/>
    <xf numFmtId="0" fontId="60" fillId="15" borderId="0"/>
    <xf numFmtId="0" fontId="60" fillId="15" borderId="0"/>
    <xf numFmtId="0" fontId="60" fillId="15" borderId="0"/>
    <xf numFmtId="0" fontId="60" fillId="15" borderId="0"/>
    <xf numFmtId="0" fontId="2" fillId="15" borderId="0"/>
    <xf numFmtId="0" fontId="2" fillId="15" borderId="0"/>
    <xf numFmtId="0" fontId="2" fillId="15" borderId="0"/>
    <xf numFmtId="0" fontId="60" fillId="19" borderId="0"/>
    <xf numFmtId="0" fontId="60" fillId="19" borderId="0"/>
    <xf numFmtId="0" fontId="60" fillId="19" borderId="0"/>
    <xf numFmtId="0" fontId="60" fillId="19" borderId="0"/>
    <xf numFmtId="0" fontId="60" fillId="19" borderId="0"/>
    <xf numFmtId="0" fontId="2" fillId="19" borderId="0"/>
    <xf numFmtId="0" fontId="2" fillId="19" borderId="0"/>
    <xf numFmtId="0" fontId="2" fillId="19" borderId="0"/>
    <xf numFmtId="0" fontId="60" fillId="23" borderId="0"/>
    <xf numFmtId="0" fontId="60" fillId="23" borderId="0"/>
    <xf numFmtId="0" fontId="60" fillId="23" borderId="0"/>
    <xf numFmtId="0" fontId="60" fillId="23" borderId="0"/>
    <xf numFmtId="0" fontId="60" fillId="23" borderId="0"/>
    <xf numFmtId="0" fontId="2" fillId="23" borderId="0"/>
    <xf numFmtId="0" fontId="2" fillId="23" borderId="0"/>
    <xf numFmtId="0" fontId="2" fillId="23" borderId="0"/>
    <xf numFmtId="0" fontId="60" fillId="27" borderId="0"/>
    <xf numFmtId="0" fontId="60" fillId="27" borderId="0"/>
    <xf numFmtId="0" fontId="60" fillId="27" borderId="0"/>
    <xf numFmtId="0" fontId="60" fillId="27" borderId="0"/>
    <xf numFmtId="0" fontId="60" fillId="27" borderId="0"/>
    <xf numFmtId="0" fontId="2" fillId="27" borderId="0"/>
    <xf numFmtId="0" fontId="2" fillId="27" borderId="0"/>
    <xf numFmtId="0" fontId="2" fillId="27" borderId="0"/>
    <xf numFmtId="0" fontId="60" fillId="31" borderId="0"/>
    <xf numFmtId="0" fontId="60" fillId="31" borderId="0"/>
    <xf numFmtId="0" fontId="60" fillId="31" borderId="0"/>
    <xf numFmtId="0" fontId="60" fillId="31" borderId="0"/>
    <xf numFmtId="0" fontId="60" fillId="31" borderId="0"/>
    <xf numFmtId="0" fontId="2" fillId="31" borderId="0"/>
    <xf numFmtId="0" fontId="2" fillId="31" borderId="0"/>
    <xf numFmtId="0" fontId="2" fillId="31" borderId="0"/>
    <xf numFmtId="0" fontId="18" fillId="12" borderId="0"/>
    <xf numFmtId="0" fontId="18" fillId="16" borderId="0"/>
    <xf numFmtId="0" fontId="18" fillId="20" borderId="0"/>
    <xf numFmtId="0" fontId="18" fillId="24" borderId="0"/>
    <xf numFmtId="0" fontId="18" fillId="28" borderId="0"/>
    <xf numFmtId="0" fontId="18" fillId="32" borderId="0"/>
    <xf numFmtId="0" fontId="18" fillId="9" borderId="0"/>
    <xf numFmtId="0" fontId="18" fillId="13" borderId="0"/>
    <xf numFmtId="0" fontId="18" fillId="17" borderId="0"/>
    <xf numFmtId="0" fontId="18" fillId="21" borderId="0"/>
    <xf numFmtId="0" fontId="18" fillId="25" borderId="0"/>
    <xf numFmtId="0" fontId="18" fillId="29" borderId="0"/>
    <xf numFmtId="0" fontId="8" fillId="3" borderId="0"/>
    <xf numFmtId="0" fontId="12" fillId="6" borderId="4"/>
    <xf numFmtId="0" fontId="14" fillId="7" borderId="7"/>
    <xf numFmtId="0" fontId="58" fillId="0" borderId="0">
      <alignment horizontal="center" wrapText="1"/>
      <protection hidden="1"/>
    </xf>
    <xf numFmtId="43" fontId="58" fillId="0" borderId="0"/>
    <xf numFmtId="43" fontId="2" fillId="0" borderId="0"/>
    <xf numFmtId="0" fontId="61" fillId="39" borderId="0">
      <alignment horizontal="center" vertical="center" wrapText="1"/>
    </xf>
    <xf numFmtId="216" fontId="58" fillId="0" borderId="0">
      <alignment horizontal="right"/>
      <protection locked="0"/>
    </xf>
    <xf numFmtId="217" fontId="58" fillId="0" borderId="0"/>
    <xf numFmtId="0" fontId="16" fillId="0" borderId="0"/>
    <xf numFmtId="166" fontId="20" fillId="40" borderId="27">
      <alignment horizontal="right"/>
    </xf>
    <xf numFmtId="0" fontId="7" fillId="2" borderId="0"/>
    <xf numFmtId="38" fontId="19" fillId="41" borderId="0"/>
    <xf numFmtId="38" fontId="19" fillId="41" borderId="0"/>
    <xf numFmtId="38" fontId="19" fillId="41" borderId="0"/>
    <xf numFmtId="0" fontId="59" fillId="0" borderId="43">
      <alignment horizontal="left" vertical="center"/>
    </xf>
    <xf numFmtId="0" fontId="59" fillId="0" borderId="18">
      <alignment horizontal="left" vertical="center"/>
    </xf>
    <xf numFmtId="0" fontId="4" fillId="0" borderId="1"/>
    <xf numFmtId="0" fontId="5" fillId="0" borderId="2"/>
    <xf numFmtId="0" fontId="6" fillId="0" borderId="3"/>
    <xf numFmtId="0" fontId="6" fillId="0" borderId="0"/>
    <xf numFmtId="10" fontId="19" fillId="42" borderId="26"/>
    <xf numFmtId="10" fontId="19" fillId="42" borderId="26"/>
    <xf numFmtId="10" fontId="19" fillId="42" borderId="26"/>
    <xf numFmtId="0" fontId="10" fillId="5" borderId="4"/>
    <xf numFmtId="0" fontId="10" fillId="5" borderId="4"/>
    <xf numFmtId="0" fontId="58" fillId="0" borderId="0">
      <alignment horizontal="right"/>
      <protection locked="0"/>
    </xf>
    <xf numFmtId="218" fontId="58" fillId="0" borderId="0">
      <alignment horizontal="right"/>
      <protection locked="0"/>
    </xf>
    <xf numFmtId="0" fontId="22" fillId="38" borderId="44">
      <alignment horizontal="left" vertical="center" wrapText="1"/>
    </xf>
    <xf numFmtId="0" fontId="13" fillId="0" borderId="6"/>
    <xf numFmtId="37" fontId="62" fillId="0" borderId="0"/>
    <xf numFmtId="0" fontId="9" fillId="4" borderId="0"/>
    <xf numFmtId="219" fontId="63" fillId="0" borderId="0"/>
    <xf numFmtId="0" fontId="6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0" fillId="0" borderId="0"/>
    <xf numFmtId="0" fontId="2" fillId="0" borderId="0"/>
    <xf numFmtId="0" fontId="60" fillId="0" borderId="0"/>
    <xf numFmtId="0" fontId="2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8" borderId="8"/>
    <xf numFmtId="0" fontId="60" fillId="8" borderId="8"/>
    <xf numFmtId="0" fontId="60" fillId="8" borderId="8"/>
    <xf numFmtId="0" fontId="60" fillId="8" borderId="8"/>
    <xf numFmtId="0" fontId="60" fillId="8" borderId="8"/>
    <xf numFmtId="0" fontId="60" fillId="8" borderId="8"/>
    <xf numFmtId="0" fontId="60" fillId="8" borderId="8"/>
    <xf numFmtId="0" fontId="60" fillId="8" borderId="8"/>
    <xf numFmtId="0" fontId="60" fillId="8" borderId="8"/>
    <xf numFmtId="0" fontId="60" fillId="8" borderId="8"/>
    <xf numFmtId="0" fontId="2" fillId="8" borderId="8"/>
    <xf numFmtId="0" fontId="2" fillId="8" borderId="8"/>
    <xf numFmtId="0" fontId="11" fillId="6" borderId="5"/>
    <xf numFmtId="10" fontId="58" fillId="0" borderId="0"/>
    <xf numFmtId="9" fontId="2" fillId="0" borderId="0"/>
    <xf numFmtId="220" fontId="58" fillId="0" borderId="0">
      <alignment horizontal="right"/>
      <protection locked="0"/>
    </xf>
    <xf numFmtId="221" fontId="58" fillId="0" borderId="0">
      <alignment horizontal="right"/>
      <protection locked="0"/>
    </xf>
    <xf numFmtId="222" fontId="64" fillId="0" borderId="0">
      <alignment horizontal="right"/>
      <protection hidden="1"/>
    </xf>
    <xf numFmtId="0" fontId="59" fillId="39" borderId="26">
      <alignment horizontal="center" vertical="center" wrapText="1"/>
      <protection hidden="1"/>
    </xf>
    <xf numFmtId="0" fontId="58" fillId="0" borderId="0"/>
    <xf numFmtId="0" fontId="17" fillId="0" borderId="9"/>
    <xf numFmtId="0" fontId="15" fillId="0" borderId="0"/>
    <xf numFmtId="0" fontId="65" fillId="0" borderId="0"/>
    <xf numFmtId="0" fontId="25" fillId="0" borderId="0"/>
    <xf numFmtId="0" fontId="25" fillId="0" borderId="0"/>
    <xf numFmtId="0" fontId="66" fillId="0" borderId="0">
      <alignment vertical="center"/>
    </xf>
    <xf numFmtId="0" fontId="58" fillId="0" borderId="0"/>
    <xf numFmtId="0" fontId="29" fillId="0" borderId="0"/>
    <xf numFmtId="0" fontId="58" fillId="0" borderId="0"/>
    <xf numFmtId="9" fontId="2" fillId="0" borderId="0"/>
    <xf numFmtId="0" fontId="2" fillId="0" borderId="0"/>
    <xf numFmtId="43" fontId="2" fillId="0" borderId="0"/>
    <xf numFmtId="0" fontId="2" fillId="10" borderId="0"/>
    <xf numFmtId="0" fontId="2" fillId="11" borderId="0"/>
    <xf numFmtId="0" fontId="2" fillId="14" borderId="0"/>
    <xf numFmtId="0" fontId="2" fillId="15" borderId="0"/>
    <xf numFmtId="0" fontId="2" fillId="18" borderId="0"/>
    <xf numFmtId="0" fontId="2" fillId="19" borderId="0"/>
    <xf numFmtId="0" fontId="2" fillId="22" borderId="0"/>
    <xf numFmtId="0" fontId="2" fillId="23" borderId="0"/>
    <xf numFmtId="0" fontId="2" fillId="26" borderId="0"/>
    <xf numFmtId="0" fontId="2" fillId="27" borderId="0"/>
    <xf numFmtId="0" fontId="2" fillId="30" borderId="0"/>
    <xf numFmtId="0" fontId="2" fillId="31" borderId="0"/>
    <xf numFmtId="0" fontId="3" fillId="0" borderId="0"/>
    <xf numFmtId="0" fontId="58" fillId="0" borderId="0"/>
    <xf numFmtId="0" fontId="2" fillId="0" borderId="0"/>
    <xf numFmtId="0" fontId="2" fillId="0" borderId="0"/>
    <xf numFmtId="0" fontId="20" fillId="0" borderId="0"/>
    <xf numFmtId="43" fontId="19" fillId="0" borderId="0"/>
    <xf numFmtId="9" fontId="19" fillId="0" borderId="0"/>
    <xf numFmtId="0" fontId="58" fillId="0" borderId="0"/>
    <xf numFmtId="0" fontId="2" fillId="0" borderId="0"/>
    <xf numFmtId="0" fontId="2" fillId="8" borderId="8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10" borderId="0"/>
    <xf numFmtId="0" fontId="2" fillId="14" borderId="0"/>
    <xf numFmtId="0" fontId="2" fillId="18" borderId="0"/>
    <xf numFmtId="0" fontId="2" fillId="22" borderId="0"/>
    <xf numFmtId="0" fontId="2" fillId="26" borderId="0"/>
    <xf numFmtId="0" fontId="2" fillId="30" borderId="0"/>
    <xf numFmtId="0" fontId="2" fillId="11" borderId="0"/>
    <xf numFmtId="0" fontId="2" fillId="15" borderId="0"/>
    <xf numFmtId="0" fontId="2" fillId="19" borderId="0"/>
    <xf numFmtId="0" fontId="2" fillId="23" borderId="0"/>
    <xf numFmtId="0" fontId="2" fillId="27" borderId="0"/>
    <xf numFmtId="0" fontId="2" fillId="31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67" fillId="0" borderId="0"/>
    <xf numFmtId="9" fontId="2" fillId="0" borderId="0"/>
    <xf numFmtId="9" fontId="67" fillId="0" borderId="0"/>
    <xf numFmtId="0" fontId="2" fillId="8" borderId="8"/>
    <xf numFmtId="0" fontId="2" fillId="0" borderId="0"/>
    <xf numFmtId="0" fontId="67" fillId="0" borderId="0"/>
    <xf numFmtId="0" fontId="2" fillId="0" borderId="0"/>
    <xf numFmtId="0" fontId="67" fillId="0" borderId="0"/>
    <xf numFmtId="9" fontId="67" fillId="0" borderId="0"/>
    <xf numFmtId="43" fontId="2" fillId="0" borderId="0"/>
    <xf numFmtId="9" fontId="2" fillId="0" borderId="0"/>
    <xf numFmtId="0" fontId="2" fillId="0" borderId="0"/>
    <xf numFmtId="9" fontId="2" fillId="0" borderId="0"/>
    <xf numFmtId="43" fontId="2" fillId="0" borderId="0"/>
    <xf numFmtId="9" fontId="2" fillId="0" borderId="0"/>
    <xf numFmtId="0" fontId="2" fillId="0" borderId="0"/>
    <xf numFmtId="43" fontId="2" fillId="0" borderId="0"/>
    <xf numFmtId="0" fontId="2" fillId="0" borderId="0"/>
    <xf numFmtId="44" fontId="2" fillId="0" borderId="0"/>
  </cellStyleXfs>
  <cellXfs count="110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4" fontId="0" fillId="0" borderId="15" xfId="0" applyNumberFormat="1" applyBorder="1" applyAlignment="1">
      <alignment horizontal="center"/>
    </xf>
    <xf numFmtId="0" fontId="0" fillId="35" borderId="15" xfId="0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24" xfId="0" applyNumberFormat="1" applyBorder="1" applyAlignment="1">
      <alignment horizontal="center"/>
    </xf>
    <xf numFmtId="3" fontId="0" fillId="0" borderId="25" xfId="0" applyNumberFormat="1" applyBorder="1" applyAlignment="1">
      <alignment horizontal="center"/>
    </xf>
    <xf numFmtId="0" fontId="0" fillId="35" borderId="0" xfId="0" applyFill="1" applyAlignment="1">
      <alignment horizontal="left"/>
    </xf>
    <xf numFmtId="4" fontId="0" fillId="35" borderId="0" xfId="0" applyNumberFormat="1" applyFill="1" applyAlignment="1">
      <alignment horizontal="center"/>
    </xf>
    <xf numFmtId="1" fontId="0" fillId="35" borderId="0" xfId="0" applyNumberFormat="1" applyFill="1" applyAlignment="1">
      <alignment horizontal="center"/>
    </xf>
    <xf numFmtId="0" fontId="0" fillId="35" borderId="16" xfId="0" applyFill="1" applyBorder="1"/>
    <xf numFmtId="0" fontId="0" fillId="0" borderId="27" xfId="0" applyBorder="1" applyAlignment="1">
      <alignment horizontal="center"/>
    </xf>
    <xf numFmtId="3" fontId="0" fillId="0" borderId="15" xfId="0" applyNumberFormat="1" applyBorder="1" applyAlignment="1">
      <alignment horizontal="center"/>
    </xf>
    <xf numFmtId="0" fontId="0" fillId="0" borderId="0" xfId="0" applyAlignment="1">
      <alignment vertical="center"/>
    </xf>
    <xf numFmtId="3" fontId="0" fillId="0" borderId="13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3" fontId="0" fillId="0" borderId="0" xfId="0" applyNumberFormat="1"/>
    <xf numFmtId="4" fontId="0" fillId="0" borderId="0" xfId="0" applyNumberFormat="1"/>
    <xf numFmtId="0" fontId="0" fillId="35" borderId="18" xfId="0" applyFill="1" applyBorder="1" applyAlignment="1">
      <alignment horizontal="center"/>
    </xf>
    <xf numFmtId="0" fontId="0" fillId="35" borderId="18" xfId="0" applyFill="1" applyBorder="1"/>
    <xf numFmtId="0" fontId="44" fillId="35" borderId="18" xfId="0" applyFont="1" applyFill="1" applyBorder="1"/>
    <xf numFmtId="3" fontId="44" fillId="0" borderId="0" xfId="0" applyNumberFormat="1" applyFont="1" applyAlignment="1">
      <alignment horizontal="center"/>
    </xf>
    <xf numFmtId="3" fontId="44" fillId="0" borderId="15" xfId="0" applyNumberFormat="1" applyFont="1" applyBorder="1" applyAlignment="1">
      <alignment horizontal="center"/>
    </xf>
    <xf numFmtId="0" fontId="17" fillId="0" borderId="0" xfId="0" applyFont="1"/>
    <xf numFmtId="0" fontId="17" fillId="0" borderId="13" xfId="0" applyFont="1" applyBorder="1"/>
    <xf numFmtId="0" fontId="42" fillId="0" borderId="0" xfId="0" applyFont="1" applyAlignment="1">
      <alignment horizontal="center"/>
    </xf>
    <xf numFmtId="4" fontId="0" fillId="0" borderId="15" xfId="0" applyNumberFormat="1" applyBorder="1"/>
    <xf numFmtId="0" fontId="0" fillId="0" borderId="36" xfId="0" applyBorder="1" applyAlignment="1">
      <alignment horizontal="center"/>
    </xf>
    <xf numFmtId="0" fontId="0" fillId="35" borderId="38" xfId="0" applyFill="1" applyBorder="1"/>
    <xf numFmtId="3" fontId="0" fillId="0" borderId="37" xfId="0" applyNumberFormat="1" applyBorder="1" applyAlignment="1">
      <alignment horizontal="center"/>
    </xf>
    <xf numFmtId="3" fontId="0" fillId="0" borderId="39" xfId="0" applyNumberFormat="1" applyBorder="1" applyAlignment="1">
      <alignment horizontal="center"/>
    </xf>
    <xf numFmtId="3" fontId="0" fillId="0" borderId="16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44" fillId="0" borderId="15" xfId="0" applyFont="1" applyBorder="1" applyAlignment="1">
      <alignment horizontal="center"/>
    </xf>
    <xf numFmtId="3" fontId="0" fillId="35" borderId="13" xfId="0" applyNumberFormat="1" applyFill="1" applyBorder="1" applyAlignment="1">
      <alignment horizontal="center"/>
    </xf>
    <xf numFmtId="0" fontId="45" fillId="0" borderId="0" xfId="0" applyFont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/>
    <xf numFmtId="0" fontId="0" fillId="35" borderId="10" xfId="0" applyFill="1" applyBorder="1"/>
    <xf numFmtId="0" fontId="0" fillId="35" borderId="0" xfId="0" applyFill="1"/>
    <xf numFmtId="0" fontId="46" fillId="0" borderId="0" xfId="0" applyFont="1"/>
    <xf numFmtId="0" fontId="46" fillId="0" borderId="0" xfId="0" applyFont="1" applyAlignment="1">
      <alignment horizontal="center"/>
    </xf>
    <xf numFmtId="3" fontId="46" fillId="0" borderId="0" xfId="0" applyNumberFormat="1" applyFont="1" applyAlignment="1">
      <alignment horizontal="center"/>
    </xf>
    <xf numFmtId="3" fontId="46" fillId="0" borderId="13" xfId="0" applyNumberFormat="1" applyFont="1" applyBorder="1" applyAlignment="1">
      <alignment horizontal="center"/>
    </xf>
    <xf numFmtId="4" fontId="46" fillId="0" borderId="14" xfId="0" applyNumberFormat="1" applyFont="1" applyBorder="1" applyAlignment="1">
      <alignment horizontal="center"/>
    </xf>
    <xf numFmtId="4" fontId="46" fillId="0" borderId="0" xfId="0" applyNumberFormat="1" applyFont="1" applyAlignment="1">
      <alignment horizontal="center"/>
    </xf>
    <xf numFmtId="4" fontId="46" fillId="0" borderId="24" xfId="0" applyNumberFormat="1" applyFont="1" applyBorder="1" applyAlignment="1">
      <alignment horizontal="center"/>
    </xf>
    <xf numFmtId="4" fontId="46" fillId="0" borderId="25" xfId="0" applyNumberFormat="1" applyFont="1" applyBorder="1" applyAlignment="1">
      <alignment horizontal="center"/>
    </xf>
    <xf numFmtId="3" fontId="46" fillId="0" borderId="15" xfId="0" applyNumberFormat="1" applyFont="1" applyBorder="1" applyAlignment="1">
      <alignment horizontal="center"/>
    </xf>
    <xf numFmtId="4" fontId="46" fillId="0" borderId="13" xfId="0" applyNumberFormat="1" applyFont="1" applyBorder="1" applyAlignment="1">
      <alignment horizontal="center"/>
    </xf>
    <xf numFmtId="4" fontId="46" fillId="0" borderId="18" xfId="0" applyNumberFormat="1" applyFont="1" applyBorder="1" applyAlignment="1">
      <alignment horizontal="center"/>
    </xf>
    <xf numFmtId="0" fontId="46" fillId="0" borderId="13" xfId="0" applyFont="1" applyBorder="1" applyAlignment="1">
      <alignment horizontal="center"/>
    </xf>
    <xf numFmtId="0" fontId="46" fillId="0" borderId="16" xfId="0" applyFont="1" applyBorder="1"/>
    <xf numFmtId="0" fontId="46" fillId="0" borderId="16" xfId="0" applyFont="1" applyBorder="1" applyAlignment="1">
      <alignment horizontal="center"/>
    </xf>
    <xf numFmtId="1" fontId="46" fillId="0" borderId="0" xfId="0" applyNumberFormat="1" applyFont="1"/>
    <xf numFmtId="0" fontId="49" fillId="0" borderId="0" xfId="0" applyFont="1"/>
    <xf numFmtId="0" fontId="49" fillId="0" borderId="24" xfId="0" applyFont="1" applyBorder="1"/>
    <xf numFmtId="0" fontId="49" fillId="35" borderId="12" xfId="0" applyFont="1" applyFill="1" applyBorder="1"/>
    <xf numFmtId="0" fontId="49" fillId="35" borderId="12" xfId="0" applyFont="1" applyFill="1" applyBorder="1" applyAlignment="1">
      <alignment horizontal="center"/>
    </xf>
    <xf numFmtId="0" fontId="49" fillId="35" borderId="13" xfId="0" applyFont="1" applyFill="1" applyBorder="1"/>
    <xf numFmtId="0" fontId="49" fillId="35" borderId="14" xfId="0" applyFont="1" applyFill="1" applyBorder="1"/>
    <xf numFmtId="0" fontId="49" fillId="35" borderId="13" xfId="0" applyFont="1" applyFill="1" applyBorder="1" applyAlignment="1">
      <alignment horizontal="center"/>
    </xf>
    <xf numFmtId="0" fontId="49" fillId="35" borderId="14" xfId="0" applyFont="1" applyFill="1" applyBorder="1" applyAlignment="1">
      <alignment horizontal="center"/>
    </xf>
    <xf numFmtId="0" fontId="49" fillId="35" borderId="17" xfId="0" applyFont="1" applyFill="1" applyBorder="1" applyAlignment="1">
      <alignment horizontal="center"/>
    </xf>
    <xf numFmtId="0" fontId="49" fillId="35" borderId="15" xfId="0" applyFont="1" applyFill="1" applyBorder="1" applyAlignment="1">
      <alignment horizontal="center"/>
    </xf>
    <xf numFmtId="0" fontId="49" fillId="35" borderId="16" xfId="0" applyFont="1" applyFill="1" applyBorder="1" applyAlignment="1">
      <alignment horizontal="center"/>
    </xf>
    <xf numFmtId="14" fontId="49" fillId="35" borderId="11" xfId="0" applyNumberFormat="1" applyFont="1" applyFill="1" applyBorder="1"/>
    <xf numFmtId="0" fontId="49" fillId="35" borderId="15" xfId="0" applyFont="1" applyFill="1" applyBorder="1" applyAlignment="1">
      <alignment horizontal="right"/>
    </xf>
    <xf numFmtId="3" fontId="49" fillId="0" borderId="24" xfId="0" applyNumberFormat="1" applyFont="1" applyBorder="1" applyAlignment="1">
      <alignment horizontal="center" vertical="center"/>
    </xf>
    <xf numFmtId="4" fontId="49" fillId="0" borderId="0" xfId="0" applyNumberFormat="1" applyFont="1" applyAlignment="1">
      <alignment horizontal="center" vertical="center"/>
    </xf>
    <xf numFmtId="3" fontId="49" fillId="0" borderId="13" xfId="0" applyNumberFormat="1" applyFont="1" applyBorder="1" applyAlignment="1">
      <alignment horizontal="center" vertical="center"/>
    </xf>
    <xf numFmtId="4" fontId="49" fillId="0" borderId="24" xfId="0" applyNumberFormat="1" applyFont="1" applyBorder="1" applyAlignment="1">
      <alignment horizontal="center" vertical="center"/>
    </xf>
    <xf numFmtId="4" fontId="49" fillId="0" borderId="25" xfId="0" applyNumberFormat="1" applyFont="1" applyBorder="1" applyAlignment="1">
      <alignment horizontal="center" vertical="center"/>
    </xf>
    <xf numFmtId="4" fontId="49" fillId="0" borderId="16" xfId="0" applyNumberFormat="1" applyFont="1" applyBorder="1" applyAlignment="1">
      <alignment horizontal="center" vertical="center"/>
    </xf>
    <xf numFmtId="14" fontId="49" fillId="0" borderId="26" xfId="0" applyNumberFormat="1" applyFont="1" applyBorder="1" applyAlignment="1">
      <alignment horizontal="center" vertical="center"/>
    </xf>
    <xf numFmtId="3" fontId="49" fillId="0" borderId="12" xfId="0" applyNumberFormat="1" applyFont="1" applyBorder="1" applyAlignment="1">
      <alignment horizontal="center" vertical="center"/>
    </xf>
    <xf numFmtId="3" fontId="49" fillId="0" borderId="18" xfId="0" applyNumberFormat="1" applyFont="1" applyBorder="1" applyAlignment="1">
      <alignment horizontal="center" vertical="center"/>
    </xf>
    <xf numFmtId="0" fontId="49" fillId="0" borderId="18" xfId="0" applyFont="1" applyBorder="1" applyAlignment="1">
      <alignment vertical="center"/>
    </xf>
    <xf numFmtId="0" fontId="49" fillId="0" borderId="11" xfId="0" applyFont="1" applyBorder="1" applyAlignment="1">
      <alignment vertical="center"/>
    </xf>
    <xf numFmtId="0" fontId="49" fillId="0" borderId="13" xfId="0" applyFont="1" applyBorder="1" applyAlignment="1">
      <alignment vertical="center"/>
    </xf>
    <xf numFmtId="0" fontId="49" fillId="0" borderId="0" xfId="0" applyFont="1" applyAlignment="1">
      <alignment vertical="center"/>
    </xf>
    <xf numFmtId="0" fontId="49" fillId="0" borderId="12" xfId="0" applyFont="1" applyBorder="1" applyAlignment="1">
      <alignment vertical="center"/>
    </xf>
    <xf numFmtId="0" fontId="49" fillId="0" borderId="24" xfId="0" applyFont="1" applyBorder="1" applyAlignment="1">
      <alignment vertical="center"/>
    </xf>
    <xf numFmtId="3" fontId="49" fillId="0" borderId="17" xfId="0" applyNumberFormat="1" applyFont="1" applyBorder="1" applyAlignment="1">
      <alignment horizontal="center" vertical="center"/>
    </xf>
    <xf numFmtId="0" fontId="49" fillId="0" borderId="15" xfId="0" applyFont="1" applyBorder="1" applyAlignment="1">
      <alignment vertical="center"/>
    </xf>
    <xf numFmtId="0" fontId="49" fillId="0" borderId="17" xfId="0" applyFont="1" applyBorder="1" applyAlignment="1">
      <alignment vertical="center"/>
    </xf>
    <xf numFmtId="4" fontId="49" fillId="0" borderId="15" xfId="0" applyNumberFormat="1" applyFont="1" applyBorder="1" applyAlignment="1">
      <alignment horizontal="center" vertical="center"/>
    </xf>
    <xf numFmtId="4" fontId="49" fillId="0" borderId="17" xfId="0" applyNumberFormat="1" applyFont="1" applyBorder="1" applyAlignment="1">
      <alignment horizontal="center" vertical="center"/>
    </xf>
    <xf numFmtId="0" fontId="47" fillId="0" borderId="15" xfId="0" applyFont="1" applyBorder="1" applyAlignment="1">
      <alignment vertical="center"/>
    </xf>
    <xf numFmtId="0" fontId="42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0" fontId="0" fillId="0" borderId="15" xfId="0" applyBorder="1" applyAlignment="1">
      <alignment vertical="center"/>
    </xf>
    <xf numFmtId="0" fontId="52" fillId="0" borderId="12" xfId="0" applyFont="1" applyBorder="1" applyAlignment="1">
      <alignment horizontal="center" vertical="center"/>
    </xf>
    <xf numFmtId="0" fontId="52" fillId="0" borderId="14" xfId="0" applyFont="1" applyBorder="1" applyAlignment="1">
      <alignment horizontal="center" vertical="center"/>
    </xf>
    <xf numFmtId="0" fontId="52" fillId="0" borderId="13" xfId="0" applyFont="1" applyBorder="1" applyAlignment="1">
      <alignment horizontal="center" vertical="center"/>
    </xf>
    <xf numFmtId="0" fontId="50" fillId="0" borderId="0" xfId="0" applyFont="1" applyAlignment="1">
      <alignment vertical="center"/>
    </xf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vertical="center"/>
    </xf>
    <xf numFmtId="0" fontId="49" fillId="0" borderId="12" xfId="0" applyFont="1" applyBorder="1" applyAlignment="1">
      <alignment horizontal="center" vertical="center"/>
    </xf>
    <xf numFmtId="0" fontId="49" fillId="0" borderId="14" xfId="0" applyFont="1" applyBorder="1" applyAlignment="1">
      <alignment vertical="center"/>
    </xf>
    <xf numFmtId="0" fontId="53" fillId="0" borderId="29" xfId="0" applyFont="1" applyBorder="1" applyAlignment="1">
      <alignment horizontal="left" vertical="center"/>
    </xf>
    <xf numFmtId="0" fontId="49" fillId="0" borderId="30" xfId="0" applyFont="1" applyBorder="1" applyAlignment="1">
      <alignment vertical="center"/>
    </xf>
    <xf numFmtId="0" fontId="49" fillId="0" borderId="31" xfId="0" applyFont="1" applyBorder="1" applyAlignment="1">
      <alignment vertical="center"/>
    </xf>
    <xf numFmtId="14" fontId="49" fillId="0" borderId="24" xfId="0" applyNumberFormat="1" applyFont="1" applyBorder="1" applyAlignment="1">
      <alignment horizontal="center" vertical="center"/>
    </xf>
    <xf numFmtId="0" fontId="49" fillId="0" borderId="25" xfId="0" applyFont="1" applyBorder="1" applyAlignment="1">
      <alignment vertical="center"/>
    </xf>
    <xf numFmtId="14" fontId="49" fillId="0" borderId="17" xfId="0" applyNumberFormat="1" applyFont="1" applyBorder="1" applyAlignment="1">
      <alignment horizontal="center" vertical="center"/>
    </xf>
    <xf numFmtId="0" fontId="49" fillId="0" borderId="16" xfId="0" applyFont="1" applyBorder="1" applyAlignment="1">
      <alignment vertical="center"/>
    </xf>
    <xf numFmtId="0" fontId="49" fillId="0" borderId="34" xfId="0" applyFont="1" applyBorder="1" applyAlignment="1">
      <alignment vertical="center"/>
    </xf>
    <xf numFmtId="0" fontId="49" fillId="0" borderId="19" xfId="0" applyFont="1" applyBorder="1" applyAlignment="1">
      <alignment vertical="center"/>
    </xf>
    <xf numFmtId="0" fontId="49" fillId="0" borderId="35" xfId="0" applyFont="1" applyBorder="1" applyAlignment="1">
      <alignment vertical="center"/>
    </xf>
    <xf numFmtId="14" fontId="49" fillId="0" borderId="12" xfId="0" applyNumberFormat="1" applyFont="1" applyBorder="1" applyAlignment="1">
      <alignment horizontal="center" vertical="center"/>
    </xf>
    <xf numFmtId="14" fontId="49" fillId="0" borderId="0" xfId="0" applyNumberFormat="1" applyFont="1" applyAlignment="1">
      <alignment vertical="center"/>
    </xf>
    <xf numFmtId="14" fontId="49" fillId="35" borderId="22" xfId="0" applyNumberFormat="1" applyFont="1" applyFill="1" applyBorder="1" applyAlignment="1">
      <alignment vertical="center"/>
    </xf>
    <xf numFmtId="0" fontId="49" fillId="35" borderId="12" xfId="0" applyFont="1" applyFill="1" applyBorder="1" applyAlignment="1">
      <alignment vertical="center"/>
    </xf>
    <xf numFmtId="0" fontId="49" fillId="35" borderId="13" xfId="0" applyFont="1" applyFill="1" applyBorder="1" applyAlignment="1">
      <alignment vertical="center"/>
    </xf>
    <xf numFmtId="0" fontId="49" fillId="35" borderId="13" xfId="0" applyFont="1" applyFill="1" applyBorder="1" applyAlignment="1">
      <alignment horizontal="center" vertical="center"/>
    </xf>
    <xf numFmtId="0" fontId="49" fillId="35" borderId="14" xfId="0" applyFont="1" applyFill="1" applyBorder="1" applyAlignment="1">
      <alignment vertical="center"/>
    </xf>
    <xf numFmtId="14" fontId="49" fillId="35" borderId="23" xfId="0" applyNumberFormat="1" applyFont="1" applyFill="1" applyBorder="1" applyAlignment="1">
      <alignment horizontal="center" vertical="center"/>
    </xf>
    <xf numFmtId="0" fontId="49" fillId="35" borderId="17" xfId="0" applyFont="1" applyFill="1" applyBorder="1" applyAlignment="1">
      <alignment horizontal="center" vertical="center"/>
    </xf>
    <xf numFmtId="0" fontId="49" fillId="35" borderId="15" xfId="0" applyFont="1" applyFill="1" applyBorder="1" applyAlignment="1">
      <alignment horizontal="center" vertical="center"/>
    </xf>
    <xf numFmtId="0" fontId="49" fillId="35" borderId="16" xfId="0" applyFont="1" applyFill="1" applyBorder="1" applyAlignment="1">
      <alignment horizontal="center" vertical="center"/>
    </xf>
    <xf numFmtId="14" fontId="49" fillId="35" borderId="26" xfId="0" applyNumberFormat="1" applyFont="1" applyFill="1" applyBorder="1" applyAlignment="1">
      <alignment horizontal="left" vertical="center"/>
    </xf>
    <xf numFmtId="0" fontId="49" fillId="35" borderId="11" xfId="0" applyFont="1" applyFill="1" applyBorder="1" applyAlignment="1">
      <alignment vertical="center"/>
    </xf>
    <xf numFmtId="0" fontId="49" fillId="35" borderId="18" xfId="0" applyFont="1" applyFill="1" applyBorder="1" applyAlignment="1">
      <alignment vertical="center"/>
    </xf>
    <xf numFmtId="0" fontId="49" fillId="35" borderId="10" xfId="0" applyFont="1" applyFill="1" applyBorder="1" applyAlignment="1">
      <alignment vertical="center"/>
    </xf>
    <xf numFmtId="3" fontId="51" fillId="0" borderId="0" xfId="0" applyNumberFormat="1" applyFont="1" applyAlignment="1">
      <alignment horizontal="center" vertical="center"/>
    </xf>
    <xf numFmtId="14" fontId="49" fillId="0" borderId="11" xfId="0" applyNumberFormat="1" applyFont="1" applyBorder="1" applyAlignment="1">
      <alignment horizontal="center" vertical="center"/>
    </xf>
    <xf numFmtId="3" fontId="49" fillId="0" borderId="11" xfId="0" applyNumberFormat="1" applyFont="1" applyBorder="1" applyAlignment="1">
      <alignment horizontal="center" vertical="center"/>
    </xf>
    <xf numFmtId="3" fontId="51" fillId="0" borderId="18" xfId="0" applyNumberFormat="1" applyFont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9" fillId="35" borderId="22" xfId="0" applyFont="1" applyFill="1" applyBorder="1" applyAlignment="1">
      <alignment horizontal="center" vertical="center"/>
    </xf>
    <xf numFmtId="0" fontId="49" fillId="35" borderId="23" xfId="0" applyFont="1" applyFill="1" applyBorder="1" applyAlignment="1">
      <alignment horizontal="center" vertical="center"/>
    </xf>
    <xf numFmtId="0" fontId="49" fillId="35" borderId="11" xfId="0" applyFont="1" applyFill="1" applyBorder="1" applyAlignment="1">
      <alignment horizontal="left" vertical="center"/>
    </xf>
    <xf numFmtId="0" fontId="49" fillId="35" borderId="26" xfId="0" applyFont="1" applyFill="1" applyBorder="1" applyAlignment="1">
      <alignment vertical="center"/>
    </xf>
    <xf numFmtId="14" fontId="49" fillId="0" borderId="24" xfId="0" applyNumberFormat="1" applyFont="1" applyBorder="1" applyAlignment="1">
      <alignment vertical="center"/>
    </xf>
    <xf numFmtId="14" fontId="49" fillId="0" borderId="17" xfId="0" applyNumberFormat="1" applyFont="1" applyBorder="1" applyAlignment="1">
      <alignment vertical="center"/>
    </xf>
    <xf numFmtId="14" fontId="47" fillId="35" borderId="22" xfId="0" applyNumberFormat="1" applyFont="1" applyFill="1" applyBorder="1" applyAlignment="1">
      <alignment vertical="center"/>
    </xf>
    <xf numFmtId="0" fontId="47" fillId="35" borderId="12" xfId="0" applyFont="1" applyFill="1" applyBorder="1" applyAlignment="1">
      <alignment horizontal="centerContinuous" vertical="center"/>
    </xf>
    <xf numFmtId="0" fontId="47" fillId="35" borderId="13" xfId="0" applyFont="1" applyFill="1" applyBorder="1" applyAlignment="1">
      <alignment horizontal="centerContinuous" vertical="center"/>
    </xf>
    <xf numFmtId="0" fontId="47" fillId="35" borderId="14" xfId="0" applyFont="1" applyFill="1" applyBorder="1" applyAlignment="1">
      <alignment horizontal="centerContinuous" vertical="center"/>
    </xf>
    <xf numFmtId="0" fontId="54" fillId="35" borderId="12" xfId="0" applyFont="1" applyFill="1" applyBorder="1" applyAlignment="1">
      <alignment vertical="center"/>
    </xf>
    <xf numFmtId="0" fontId="54" fillId="35" borderId="13" xfId="0" applyFont="1" applyFill="1" applyBorder="1" applyAlignment="1">
      <alignment horizontal="center" vertical="center"/>
    </xf>
    <xf numFmtId="0" fontId="54" fillId="35" borderId="13" xfId="0" applyFont="1" applyFill="1" applyBorder="1" applyAlignment="1">
      <alignment vertical="center"/>
    </xf>
    <xf numFmtId="0" fontId="54" fillId="35" borderId="17" xfId="0" applyFont="1" applyFill="1" applyBorder="1" applyAlignment="1">
      <alignment horizontal="center" vertical="center"/>
    </xf>
    <xf numFmtId="0" fontId="54" fillId="35" borderId="15" xfId="0" applyFont="1" applyFill="1" applyBorder="1" applyAlignment="1">
      <alignment horizontal="center" vertical="center"/>
    </xf>
    <xf numFmtId="0" fontId="54" fillId="35" borderId="16" xfId="0" applyFont="1" applyFill="1" applyBorder="1" applyAlignment="1">
      <alignment horizontal="center" vertical="center"/>
    </xf>
    <xf numFmtId="0" fontId="46" fillId="35" borderId="15" xfId="0" applyFont="1" applyFill="1" applyBorder="1" applyAlignment="1">
      <alignment horizontal="center" vertical="center"/>
    </xf>
    <xf numFmtId="0" fontId="49" fillId="0" borderId="27" xfId="0" applyFont="1" applyBorder="1" applyAlignment="1">
      <alignment horizontal="center" vertical="center"/>
    </xf>
    <xf numFmtId="3" fontId="55" fillId="0" borderId="13" xfId="0" applyNumberFormat="1" applyFont="1" applyBorder="1" applyAlignment="1">
      <alignment horizontal="center" vertical="center"/>
    </xf>
    <xf numFmtId="3" fontId="49" fillId="0" borderId="22" xfId="0" applyNumberFormat="1" applyFont="1" applyBorder="1" applyAlignment="1">
      <alignment horizontal="center" vertical="center"/>
    </xf>
    <xf numFmtId="3" fontId="55" fillId="0" borderId="0" xfId="0" applyNumberFormat="1" applyFont="1" applyAlignment="1">
      <alignment horizontal="center" vertical="center"/>
    </xf>
    <xf numFmtId="3" fontId="49" fillId="0" borderId="27" xfId="0" applyNumberFormat="1" applyFont="1" applyBorder="1" applyAlignment="1">
      <alignment horizontal="center" vertical="center"/>
    </xf>
    <xf numFmtId="0" fontId="49" fillId="0" borderId="12" xfId="0" applyFont="1" applyBorder="1"/>
    <xf numFmtId="0" fontId="49" fillId="0" borderId="17" xfId="0" applyFont="1" applyBorder="1"/>
    <xf numFmtId="0" fontId="49" fillId="0" borderId="10" xfId="0" applyFont="1" applyBorder="1" applyAlignment="1">
      <alignment horizontal="centerContinuous"/>
    </xf>
    <xf numFmtId="2" fontId="0" fillId="0" borderId="0" xfId="0" applyNumberFormat="1" applyAlignment="1">
      <alignment horizontal="center"/>
    </xf>
    <xf numFmtId="0" fontId="0" fillId="0" borderId="0" xfId="0" quotePrefix="1"/>
    <xf numFmtId="0" fontId="46" fillId="35" borderId="13" xfId="0" applyFont="1" applyFill="1" applyBorder="1" applyAlignment="1">
      <alignment horizontal="center" vertical="center"/>
    </xf>
    <xf numFmtId="0" fontId="46" fillId="0" borderId="13" xfId="0" applyFont="1" applyBorder="1"/>
    <xf numFmtId="0" fontId="46" fillId="0" borderId="15" xfId="0" applyFont="1" applyBorder="1"/>
    <xf numFmtId="0" fontId="49" fillId="0" borderId="23" xfId="0" applyFont="1" applyBorder="1" applyAlignment="1">
      <alignment horizontal="center" vertical="center"/>
    </xf>
    <xf numFmtId="14" fontId="49" fillId="0" borderId="12" xfId="0" applyNumberFormat="1" applyFont="1" applyBorder="1" applyAlignment="1">
      <alignment vertical="center"/>
    </xf>
    <xf numFmtId="3" fontId="0" fillId="0" borderId="14" xfId="0" applyNumberFormat="1" applyBorder="1" applyAlignment="1">
      <alignment horizontal="center"/>
    </xf>
    <xf numFmtId="0" fontId="0" fillId="0" borderId="11" xfId="0" applyBorder="1"/>
    <xf numFmtId="0" fontId="49" fillId="0" borderId="22" xfId="0" applyFont="1" applyBorder="1" applyAlignment="1">
      <alignment vertical="center"/>
    </xf>
    <xf numFmtId="0" fontId="49" fillId="0" borderId="23" xfId="0" applyFont="1" applyBorder="1" applyAlignment="1">
      <alignment vertical="center"/>
    </xf>
    <xf numFmtId="0" fontId="46" fillId="35" borderId="15" xfId="0" applyFont="1" applyFill="1" applyBorder="1"/>
    <xf numFmtId="0" fontId="46" fillId="0" borderId="15" xfId="0" applyFont="1" applyBorder="1" applyAlignment="1">
      <alignment horizontal="center"/>
    </xf>
    <xf numFmtId="4" fontId="46" fillId="0" borderId="27" xfId="0" applyNumberFormat="1" applyFont="1" applyBorder="1" applyAlignment="1">
      <alignment horizontal="center"/>
    </xf>
    <xf numFmtId="4" fontId="46" fillId="0" borderId="23" xfId="0" applyNumberFormat="1" applyFon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0" fillId="0" borderId="41" xfId="0" applyBorder="1"/>
    <xf numFmtId="0" fontId="0" fillId="0" borderId="42" xfId="0" applyBorder="1"/>
    <xf numFmtId="9" fontId="49" fillId="0" borderId="24" xfId="0" applyNumberFormat="1" applyFont="1" applyBorder="1" applyAlignment="1">
      <alignment horizontal="center" vertical="center"/>
    </xf>
    <xf numFmtId="9" fontId="49" fillId="0" borderId="17" xfId="0" applyNumberFormat="1" applyFont="1" applyBorder="1" applyAlignment="1">
      <alignment horizontal="center" vertical="center"/>
    </xf>
    <xf numFmtId="0" fontId="0" fillId="35" borderId="28" xfId="0" applyFill="1" applyBorder="1" applyAlignment="1">
      <alignment horizontal="center"/>
    </xf>
    <xf numFmtId="3" fontId="55" fillId="0" borderId="15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1" fontId="49" fillId="0" borderId="18" xfId="0" applyNumberFormat="1" applyFont="1" applyBorder="1" applyAlignment="1">
      <alignment horizontal="center" vertical="center"/>
    </xf>
    <xf numFmtId="2" fontId="0" fillId="0" borderId="18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49" fillId="0" borderId="0" xfId="0" applyFont="1" applyAlignment="1">
      <alignment horizontal="left" vertical="center"/>
    </xf>
    <xf numFmtId="3" fontId="49" fillId="0" borderId="13" xfId="0" applyNumberFormat="1" applyFont="1" applyBorder="1" applyAlignment="1">
      <alignment vertical="center"/>
    </xf>
    <xf numFmtId="3" fontId="49" fillId="0" borderId="0" xfId="0" applyNumberFormat="1" applyFont="1" applyAlignment="1">
      <alignment vertical="center"/>
    </xf>
    <xf numFmtId="3" fontId="49" fillId="0" borderId="15" xfId="0" applyNumberFormat="1" applyFont="1" applyBorder="1" applyAlignment="1">
      <alignment vertical="center"/>
    </xf>
    <xf numFmtId="4" fontId="0" fillId="0" borderId="25" xfId="0" applyNumberFormat="1" applyBorder="1" applyAlignment="1">
      <alignment horizontal="center"/>
    </xf>
    <xf numFmtId="3" fontId="0" fillId="0" borderId="25" xfId="0" applyNumberFormat="1" applyBorder="1"/>
    <xf numFmtId="3" fontId="0" fillId="0" borderId="16" xfId="0" applyNumberFormat="1" applyBorder="1"/>
    <xf numFmtId="9" fontId="49" fillId="0" borderId="11" xfId="421" applyFont="1" applyBorder="1" applyAlignment="1">
      <alignment horizontal="center" vertical="center"/>
    </xf>
    <xf numFmtId="9" fontId="49" fillId="0" borderId="0" xfId="421" applyFont="1" applyAlignment="1">
      <alignment horizontal="center" vertical="center"/>
    </xf>
    <xf numFmtId="9" fontId="49" fillId="0" borderId="18" xfId="421" applyFont="1" applyBorder="1" applyAlignment="1">
      <alignment horizontal="center" vertical="center"/>
    </xf>
    <xf numFmtId="3" fontId="0" fillId="35" borderId="18" xfId="0" applyNumberFormat="1" applyFill="1" applyBorder="1" applyAlignment="1">
      <alignment horizontal="left"/>
    </xf>
    <xf numFmtId="0" fontId="0" fillId="36" borderId="15" xfId="0" applyFill="1" applyBorder="1" applyAlignment="1">
      <alignment horizontal="center"/>
    </xf>
    <xf numFmtId="0" fontId="0" fillId="36" borderId="18" xfId="0" applyFill="1" applyBorder="1"/>
    <xf numFmtId="0" fontId="49" fillId="35" borderId="15" xfId="0" quotePrefix="1" applyFont="1" applyFill="1" applyBorder="1" applyAlignment="1">
      <alignment horizontal="center" vertical="center"/>
    </xf>
    <xf numFmtId="0" fontId="49" fillId="0" borderId="17" xfId="0" applyFont="1" applyBorder="1" applyAlignment="1">
      <alignment horizontal="left" vertical="center"/>
    </xf>
    <xf numFmtId="0" fontId="49" fillId="0" borderId="11" xfId="0" applyFont="1" applyBorder="1" applyAlignment="1">
      <alignment horizontal="center"/>
    </xf>
    <xf numFmtId="0" fontId="49" fillId="0" borderId="10" xfId="0" applyFont="1" applyBorder="1" applyAlignment="1">
      <alignment horizontal="center"/>
    </xf>
    <xf numFmtId="0" fontId="49" fillId="0" borderId="27" xfId="0" applyFont="1" applyBorder="1" applyAlignment="1">
      <alignment horizontal="center"/>
    </xf>
    <xf numFmtId="0" fontId="49" fillId="0" borderId="16" xfId="0" applyFont="1" applyBorder="1" applyAlignment="1">
      <alignment horizontal="center"/>
    </xf>
    <xf numFmtId="0" fontId="49" fillId="0" borderId="17" xfId="0" applyFont="1" applyBorder="1" applyAlignment="1">
      <alignment horizontal="center"/>
    </xf>
    <xf numFmtId="3" fontId="46" fillId="0" borderId="25" xfId="0" applyNumberFormat="1" applyFont="1" applyBorder="1" applyAlignment="1">
      <alignment horizontal="center"/>
    </xf>
    <xf numFmtId="0" fontId="46" fillId="35" borderId="10" xfId="0" applyFont="1" applyFill="1" applyBorder="1"/>
    <xf numFmtId="14" fontId="49" fillId="0" borderId="15" xfId="0" applyNumberFormat="1" applyFont="1" applyBorder="1" applyAlignment="1">
      <alignment vertical="center"/>
    </xf>
    <xf numFmtId="0" fontId="49" fillId="35" borderId="23" xfId="0" applyFont="1" applyFill="1" applyBorder="1" applyAlignment="1">
      <alignment horizontal="center"/>
    </xf>
    <xf numFmtId="0" fontId="49" fillId="35" borderId="22" xfId="0" applyFont="1" applyFill="1" applyBorder="1" applyAlignment="1">
      <alignment horizontal="center"/>
    </xf>
    <xf numFmtId="0" fontId="49" fillId="0" borderId="23" xfId="0" applyFont="1" applyBorder="1" applyAlignment="1">
      <alignment horizontal="center"/>
    </xf>
    <xf numFmtId="0" fontId="0" fillId="35" borderId="0" xfId="0" applyFill="1" applyAlignment="1">
      <alignment horizontal="center"/>
    </xf>
    <xf numFmtId="0" fontId="46" fillId="35" borderId="17" xfId="0" applyFont="1" applyFill="1" applyBorder="1" applyAlignment="1">
      <alignment horizontal="center"/>
    </xf>
    <xf numFmtId="0" fontId="46" fillId="35" borderId="12" xfId="0" applyFont="1" applyFill="1" applyBorder="1" applyAlignment="1">
      <alignment horizontal="center"/>
    </xf>
    <xf numFmtId="0" fontId="46" fillId="35" borderId="15" xfId="0" applyFont="1" applyFill="1" applyBorder="1" applyAlignment="1">
      <alignment horizontal="center"/>
    </xf>
    <xf numFmtId="0" fontId="46" fillId="35" borderId="13" xfId="0" applyFont="1" applyFill="1" applyBorder="1" applyAlignment="1">
      <alignment horizontal="center"/>
    </xf>
    <xf numFmtId="0" fontId="46" fillId="35" borderId="14" xfId="0" applyFont="1" applyFill="1" applyBorder="1" applyAlignment="1">
      <alignment horizontal="center"/>
    </xf>
    <xf numFmtId="0" fontId="46" fillId="35" borderId="16" xfId="0" applyFont="1" applyFill="1" applyBorder="1" applyAlignment="1">
      <alignment horizontal="center"/>
    </xf>
    <xf numFmtId="0" fontId="46" fillId="0" borderId="18" xfId="0" applyFont="1" applyBorder="1"/>
    <xf numFmtId="0" fontId="46" fillId="35" borderId="18" xfId="0" applyFont="1" applyFill="1" applyBorder="1"/>
    <xf numFmtId="0" fontId="46" fillId="0" borderId="0" xfId="0" applyFont="1" applyAlignment="1">
      <alignment horizontal="center" vertical="center"/>
    </xf>
    <xf numFmtId="0" fontId="49" fillId="0" borderId="14" xfId="0" applyFont="1" applyBorder="1" applyAlignment="1">
      <alignment horizontal="center"/>
    </xf>
    <xf numFmtId="0" fontId="49" fillId="0" borderId="13" xfId="0" applyFont="1" applyBorder="1"/>
    <xf numFmtId="0" fontId="49" fillId="0" borderId="15" xfId="0" applyFont="1" applyBorder="1"/>
    <xf numFmtId="0" fontId="46" fillId="35" borderId="23" xfId="0" applyFont="1" applyFill="1" applyBorder="1" applyAlignment="1">
      <alignment horizontal="center"/>
    </xf>
    <xf numFmtId="0" fontId="49" fillId="0" borderId="11" xfId="0" applyFont="1" applyBorder="1" applyAlignment="1">
      <alignment horizontal="centerContinuous"/>
    </xf>
    <xf numFmtId="0" fontId="0" fillId="0" borderId="0" xfId="0" applyAlignment="1">
      <alignment horizontal="center" vertical="center"/>
    </xf>
    <xf numFmtId="0" fontId="49" fillId="0" borderId="12" xfId="0" applyFont="1" applyBorder="1" applyAlignment="1">
      <alignment horizontal="centerContinuous"/>
    </xf>
    <xf numFmtId="0" fontId="49" fillId="0" borderId="13" xfId="0" applyFont="1" applyBorder="1" applyAlignment="1">
      <alignment horizontal="centerContinuous"/>
    </xf>
    <xf numFmtId="0" fontId="49" fillId="0" borderId="24" xfId="0" applyFont="1" applyBorder="1" applyAlignment="1">
      <alignment horizontal="centerContinuous"/>
    </xf>
    <xf numFmtId="0" fontId="49" fillId="0" borderId="0" xfId="0" applyFont="1" applyAlignment="1">
      <alignment horizontal="centerContinuous"/>
    </xf>
    <xf numFmtId="0" fontId="49" fillId="0" borderId="24" xfId="0" applyFont="1" applyBorder="1" applyAlignment="1">
      <alignment horizontal="left"/>
    </xf>
    <xf numFmtId="0" fontId="49" fillId="0" borderId="14" xfId="0" applyFont="1" applyBorder="1" applyAlignment="1">
      <alignment horizontal="centerContinuous"/>
    </xf>
    <xf numFmtId="0" fontId="17" fillId="35" borderId="18" xfId="0" applyFont="1" applyFill="1" applyBorder="1" applyAlignment="1">
      <alignment horizontal="centerContinuous"/>
    </xf>
    <xf numFmtId="0" fontId="0" fillId="35" borderId="18" xfId="0" applyFill="1" applyBorder="1" applyAlignment="1">
      <alignment horizontal="centerContinuous"/>
    </xf>
    <xf numFmtId="0" fontId="0" fillId="35" borderId="10" xfId="0" applyFill="1" applyBorder="1" applyAlignment="1">
      <alignment horizontal="centerContinuous"/>
    </xf>
    <xf numFmtId="0" fontId="49" fillId="35" borderId="18" xfId="0" applyFont="1" applyFill="1" applyBorder="1" applyAlignment="1">
      <alignment horizontal="centerContinuous" vertical="center"/>
    </xf>
    <xf numFmtId="0" fontId="49" fillId="35" borderId="10" xfId="0" applyFont="1" applyFill="1" applyBorder="1" applyAlignment="1">
      <alignment horizontal="centerContinuous" vertical="center"/>
    </xf>
    <xf numFmtId="0" fontId="57" fillId="35" borderId="16" xfId="0" applyFont="1" applyFill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0" fontId="49" fillId="35" borderId="18" xfId="0" applyFont="1" applyFill="1" applyBorder="1" applyAlignment="1">
      <alignment horizontal="center"/>
    </xf>
    <xf numFmtId="0" fontId="47" fillId="35" borderId="18" xfId="0" applyFont="1" applyFill="1" applyBorder="1"/>
    <xf numFmtId="3" fontId="46" fillId="0" borderId="16" xfId="0" applyNumberFormat="1" applyFont="1" applyBorder="1" applyAlignment="1">
      <alignment horizontal="center"/>
    </xf>
    <xf numFmtId="3" fontId="0" fillId="0" borderId="46" xfId="0" applyNumberFormat="1" applyBorder="1" applyAlignment="1">
      <alignment horizontal="center"/>
    </xf>
    <xf numFmtId="3" fontId="49" fillId="0" borderId="25" xfId="0" applyNumberFormat="1" applyFont="1" applyBorder="1" applyAlignment="1">
      <alignment horizontal="center"/>
    </xf>
    <xf numFmtId="0" fontId="56" fillId="0" borderId="24" xfId="0" applyFont="1" applyBorder="1" applyAlignment="1">
      <alignment horizontal="centerContinuous"/>
    </xf>
    <xf numFmtId="0" fontId="56" fillId="0" borderId="25" xfId="0" applyFont="1" applyBorder="1" applyAlignment="1">
      <alignment horizontal="centerContinuous"/>
    </xf>
    <xf numFmtId="4" fontId="49" fillId="0" borderId="17" xfId="0" applyNumberFormat="1" applyFont="1" applyBorder="1" applyAlignment="1">
      <alignment horizontal="center"/>
    </xf>
    <xf numFmtId="4" fontId="49" fillId="0" borderId="15" xfId="0" applyNumberFormat="1" applyFont="1" applyBorder="1" applyAlignment="1">
      <alignment horizontal="center"/>
    </xf>
    <xf numFmtId="4" fontId="49" fillId="0" borderId="16" xfId="0" applyNumberFormat="1" applyFont="1" applyBorder="1" applyAlignment="1">
      <alignment horizontal="center"/>
    </xf>
    <xf numFmtId="0" fontId="56" fillId="0" borderId="12" xfId="0" applyFont="1" applyBorder="1" applyAlignment="1">
      <alignment horizontal="center"/>
    </xf>
    <xf numFmtId="0" fontId="56" fillId="0" borderId="13" xfId="0" applyFont="1" applyBorder="1" applyAlignment="1">
      <alignment horizontal="center"/>
    </xf>
    <xf numFmtId="0" fontId="56" fillId="0" borderId="14" xfId="0" applyFont="1" applyBorder="1" applyAlignment="1">
      <alignment horizontal="center"/>
    </xf>
    <xf numFmtId="0" fontId="56" fillId="0" borderId="24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6" fillId="0" borderId="25" xfId="0" applyFont="1" applyBorder="1" applyAlignment="1">
      <alignment horizontal="center"/>
    </xf>
    <xf numFmtId="0" fontId="56" fillId="0" borderId="24" xfId="0" applyFont="1" applyBorder="1"/>
    <xf numFmtId="0" fontId="49" fillId="35" borderId="12" xfId="0" applyFont="1" applyFill="1" applyBorder="1" applyAlignment="1">
      <alignment horizontal="center" vertical="center"/>
    </xf>
    <xf numFmtId="0" fontId="49" fillId="35" borderId="14" xfId="0" applyFont="1" applyFill="1" applyBorder="1" applyAlignment="1">
      <alignment horizontal="center" vertical="center"/>
    </xf>
    <xf numFmtId="0" fontId="49" fillId="35" borderId="24" xfId="0" applyFont="1" applyFill="1" applyBorder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35" borderId="25" xfId="0" applyFont="1" applyFill="1" applyBorder="1" applyAlignment="1">
      <alignment horizontal="center" vertical="center"/>
    </xf>
    <xf numFmtId="0" fontId="49" fillId="35" borderId="27" xfId="0" applyFont="1" applyFill="1" applyBorder="1" applyAlignment="1">
      <alignment horizontal="center" vertical="center"/>
    </xf>
    <xf numFmtId="0" fontId="42" fillId="0" borderId="12" xfId="0" applyFont="1" applyBorder="1"/>
    <xf numFmtId="0" fontId="42" fillId="0" borderId="13" xfId="0" applyFont="1" applyBorder="1"/>
    <xf numFmtId="0" fontId="49" fillId="0" borderId="0" xfId="0" applyFont="1" applyAlignment="1">
      <alignment horizontal="center"/>
    </xf>
    <xf numFmtId="0" fontId="49" fillId="35" borderId="0" xfId="0" applyFont="1" applyFill="1" applyAlignment="1">
      <alignment vertical="center"/>
    </xf>
    <xf numFmtId="0" fontId="56" fillId="0" borderId="29" xfId="0" applyFont="1" applyBorder="1" applyAlignment="1">
      <alignment vertical="center"/>
    </xf>
    <xf numFmtId="0" fontId="56" fillId="0" borderId="30" xfId="0" applyFont="1" applyBorder="1" applyAlignment="1">
      <alignment horizontal="center" vertical="center"/>
    </xf>
    <xf numFmtId="0" fontId="56" fillId="0" borderId="31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/>
    </xf>
    <xf numFmtId="0" fontId="49" fillId="0" borderId="19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17" fillId="0" borderId="15" xfId="0" applyFont="1" applyBorder="1" applyAlignment="1">
      <alignment horizontal="center"/>
    </xf>
    <xf numFmtId="0" fontId="52" fillId="0" borderId="13" xfId="0" quotePrefix="1" applyFont="1" applyBorder="1" applyAlignment="1">
      <alignment horizontal="center" vertical="center"/>
    </xf>
    <xf numFmtId="0" fontId="49" fillId="0" borderId="24" xfId="0" applyFont="1" applyBorder="1" applyAlignment="1">
      <alignment horizontal="center"/>
    </xf>
    <xf numFmtId="0" fontId="49" fillId="0" borderId="15" xfId="0" applyFont="1" applyBorder="1" applyAlignment="1">
      <alignment horizontal="center"/>
    </xf>
    <xf numFmtId="0" fontId="49" fillId="0" borderId="12" xfId="0" applyFont="1" applyBorder="1" applyAlignment="1">
      <alignment horizontal="center"/>
    </xf>
    <xf numFmtId="0" fontId="49" fillId="0" borderId="13" xfId="0" applyFont="1" applyBorder="1" applyAlignment="1">
      <alignment horizontal="center"/>
    </xf>
    <xf numFmtId="4" fontId="49" fillId="0" borderId="0" xfId="0" applyNumberFormat="1" applyFont="1" applyAlignment="1">
      <alignment horizontal="center"/>
    </xf>
    <xf numFmtId="0" fontId="49" fillId="35" borderId="18" xfId="0" applyFont="1" applyFill="1" applyBorder="1" applyAlignment="1">
      <alignment horizontal="centerContinuous"/>
    </xf>
    <xf numFmtId="0" fontId="49" fillId="35" borderId="10" xfId="0" applyFont="1" applyFill="1" applyBorder="1" applyAlignment="1">
      <alignment horizontal="centerContinuous"/>
    </xf>
    <xf numFmtId="0" fontId="49" fillId="0" borderId="12" xfId="0" applyFont="1" applyBorder="1" applyAlignment="1">
      <alignment horizontal="left" vertical="center"/>
    </xf>
    <xf numFmtId="0" fontId="49" fillId="0" borderId="15" xfId="0" applyFont="1" applyBorder="1" applyAlignment="1">
      <alignment horizontal="left" vertical="center"/>
    </xf>
    <xf numFmtId="0" fontId="49" fillId="35" borderId="11" xfId="0" applyFont="1" applyFill="1" applyBorder="1" applyAlignment="1">
      <alignment horizontal="centerContinuous"/>
    </xf>
    <xf numFmtId="0" fontId="49" fillId="35" borderId="11" xfId="0" applyFont="1" applyFill="1" applyBorder="1" applyAlignment="1">
      <alignment horizontal="centerContinuous" vertical="center"/>
    </xf>
    <xf numFmtId="0" fontId="49" fillId="35" borderId="11" xfId="0" applyFont="1" applyFill="1" applyBorder="1"/>
    <xf numFmtId="0" fontId="68" fillId="35" borderId="10" xfId="0" applyFont="1" applyFill="1" applyBorder="1" applyAlignment="1">
      <alignment horizontal="center"/>
    </xf>
    <xf numFmtId="0" fontId="0" fillId="35" borderId="0" xfId="0" applyFill="1" applyAlignment="1">
      <alignment horizontal="centerContinuous"/>
    </xf>
    <xf numFmtId="0" fontId="0" fillId="35" borderId="18" xfId="0" applyFill="1" applyBorder="1" applyAlignment="1">
      <alignment horizontal="right"/>
    </xf>
    <xf numFmtId="0" fontId="0" fillId="35" borderId="10" xfId="0" applyFill="1" applyBorder="1" applyAlignment="1">
      <alignment horizontal="right"/>
    </xf>
    <xf numFmtId="16" fontId="0" fillId="0" borderId="15" xfId="0" quotePrefix="1" applyNumberForma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51" fillId="0" borderId="0" xfId="0" applyFont="1" applyAlignment="1">
      <alignment horizontal="center"/>
    </xf>
    <xf numFmtId="0" fontId="46" fillId="0" borderId="28" xfId="0" applyFon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0" fontId="0" fillId="0" borderId="0" xfId="0" applyAlignment="1">
      <alignment horizontal="centerContinuous"/>
    </xf>
    <xf numFmtId="0" fontId="17" fillId="0" borderId="0" xfId="0" applyFont="1" applyAlignment="1">
      <alignment horizontal="centerContinuous"/>
    </xf>
    <xf numFmtId="0" fontId="0" fillId="35" borderId="26" xfId="0" applyFill="1" applyBorder="1" applyAlignment="1">
      <alignment horizontal="center"/>
    </xf>
    <xf numFmtId="2" fontId="49" fillId="0" borderId="16" xfId="0" applyNumberFormat="1" applyFont="1" applyBorder="1" applyAlignment="1">
      <alignment horizontal="center"/>
    </xf>
    <xf numFmtId="3" fontId="0" fillId="35" borderId="18" xfId="0" applyNumberFormat="1" applyFill="1" applyBorder="1" applyAlignment="1">
      <alignment horizontal="center"/>
    </xf>
    <xf numFmtId="0" fontId="43" fillId="35" borderId="0" xfId="0" quotePrefix="1" applyFont="1" applyFill="1" applyAlignment="1">
      <alignment vertical="center"/>
    </xf>
    <xf numFmtId="4" fontId="49" fillId="0" borderId="18" xfId="0" applyNumberFormat="1" applyFont="1" applyBorder="1" applyAlignment="1">
      <alignment horizontal="center" vertical="center"/>
    </xf>
    <xf numFmtId="0" fontId="17" fillId="0" borderId="15" xfId="0" applyFont="1" applyBorder="1"/>
    <xf numFmtId="3" fontId="0" fillId="35" borderId="15" xfId="0" applyNumberFormat="1" applyFill="1" applyBorder="1" applyAlignment="1">
      <alignment horizontal="center"/>
    </xf>
    <xf numFmtId="0" fontId="49" fillId="0" borderId="25" xfId="0" applyFont="1" applyBorder="1" applyAlignment="1">
      <alignment horizontal="center"/>
    </xf>
    <xf numFmtId="0" fontId="0" fillId="0" borderId="24" xfId="0" applyBorder="1" applyAlignment="1">
      <alignment vertical="center"/>
    </xf>
    <xf numFmtId="0" fontId="0" fillId="0" borderId="17" xfId="0" applyBorder="1" applyAlignment="1">
      <alignment vertical="center"/>
    </xf>
    <xf numFmtId="0" fontId="46" fillId="0" borderId="12" xfId="0" applyFont="1" applyBorder="1" applyAlignment="1">
      <alignment horizontal="center"/>
    </xf>
    <xf numFmtId="0" fontId="46" fillId="0" borderId="24" xfId="0" applyFont="1" applyBorder="1" applyAlignment="1">
      <alignment horizontal="center"/>
    </xf>
    <xf numFmtId="0" fontId="46" fillId="0" borderId="17" xfId="0" applyFont="1" applyBorder="1" applyAlignment="1">
      <alignment horizontal="center"/>
    </xf>
    <xf numFmtId="0" fontId="56" fillId="0" borderId="0" xfId="0" applyFont="1"/>
    <xf numFmtId="0" fontId="0" fillId="35" borderId="11" xfId="0" applyFill="1" applyBorder="1" applyAlignment="1">
      <alignment vertical="center"/>
    </xf>
    <xf numFmtId="0" fontId="49" fillId="35" borderId="10" xfId="0" applyFont="1" applyFill="1" applyBorder="1" applyAlignment="1">
      <alignment horizontal="center" vertical="center"/>
    </xf>
    <xf numFmtId="0" fontId="49" fillId="35" borderId="17" xfId="0" quotePrefix="1" applyFont="1" applyFill="1" applyBorder="1" applyAlignment="1">
      <alignment horizontal="center"/>
    </xf>
    <xf numFmtId="0" fontId="70" fillId="35" borderId="14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35" borderId="49" xfId="0" applyFill="1" applyBorder="1"/>
    <xf numFmtId="0" fontId="0" fillId="35" borderId="47" xfId="0" applyFill="1" applyBorder="1"/>
    <xf numFmtId="3" fontId="0" fillId="0" borderId="32" xfId="0" applyNumberFormat="1" applyBorder="1" applyAlignment="1">
      <alignment horizontal="center"/>
    </xf>
    <xf numFmtId="3" fontId="0" fillId="0" borderId="33" xfId="0" applyNumberFormat="1" applyBorder="1" applyAlignment="1">
      <alignment horizontal="center"/>
    </xf>
    <xf numFmtId="3" fontId="0" fillId="0" borderId="48" xfId="0" applyNumberFormat="1" applyBorder="1" applyAlignment="1">
      <alignment horizontal="center"/>
    </xf>
    <xf numFmtId="3" fontId="0" fillId="0" borderId="42" xfId="0" applyNumberFormat="1" applyBorder="1" applyAlignment="1">
      <alignment horizontal="center"/>
    </xf>
    <xf numFmtId="3" fontId="0" fillId="0" borderId="34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3" fontId="0" fillId="0" borderId="35" xfId="0" applyNumberFormat="1" applyBorder="1" applyAlignment="1">
      <alignment horizontal="center"/>
    </xf>
    <xf numFmtId="0" fontId="0" fillId="0" borderId="29" xfId="0" applyBorder="1"/>
    <xf numFmtId="0" fontId="0" fillId="0" borderId="30" xfId="0" applyBorder="1"/>
    <xf numFmtId="4" fontId="0" fillId="0" borderId="30" xfId="0" applyNumberForma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52" xfId="0" applyBorder="1"/>
    <xf numFmtId="14" fontId="0" fillId="0" borderId="39" xfId="0" applyNumberFormat="1" applyBorder="1" applyAlignment="1">
      <alignment horizontal="center"/>
    </xf>
    <xf numFmtId="0" fontId="46" fillId="0" borderId="30" xfId="0" applyFont="1" applyBorder="1" applyAlignment="1">
      <alignment horizontal="center"/>
    </xf>
    <xf numFmtId="0" fontId="46" fillId="0" borderId="31" xfId="0" applyFont="1" applyBorder="1" applyAlignment="1">
      <alignment horizontal="center"/>
    </xf>
    <xf numFmtId="0" fontId="46" fillId="0" borderId="42" xfId="0" applyFont="1" applyBorder="1" applyAlignment="1">
      <alignment horizontal="center"/>
    </xf>
    <xf numFmtId="0" fontId="46" fillId="35" borderId="47" xfId="0" applyFont="1" applyFill="1" applyBorder="1"/>
    <xf numFmtId="3" fontId="46" fillId="35" borderId="0" xfId="0" applyNumberFormat="1" applyFont="1" applyFill="1" applyAlignment="1">
      <alignment horizontal="center"/>
    </xf>
    <xf numFmtId="0" fontId="46" fillId="0" borderId="51" xfId="0" applyFont="1" applyBorder="1"/>
    <xf numFmtId="3" fontId="46" fillId="0" borderId="51" xfId="0" applyNumberFormat="1" applyFont="1" applyBorder="1" applyAlignment="1">
      <alignment horizontal="center"/>
    </xf>
    <xf numFmtId="0" fontId="46" fillId="35" borderId="39" xfId="0" applyFont="1" applyFill="1" applyBorder="1" applyAlignment="1">
      <alignment horizontal="center"/>
    </xf>
    <xf numFmtId="0" fontId="17" fillId="0" borderId="31" xfId="0" applyFont="1" applyBorder="1" applyAlignment="1">
      <alignment horizontal="center"/>
    </xf>
    <xf numFmtId="0" fontId="17" fillId="0" borderId="42" xfId="0" applyFont="1" applyBorder="1" applyAlignment="1">
      <alignment horizontal="center"/>
    </xf>
    <xf numFmtId="0" fontId="0" fillId="35" borderId="48" xfId="0" applyFill="1" applyBorder="1" applyAlignment="1">
      <alignment horizontal="center"/>
    </xf>
    <xf numFmtId="0" fontId="0" fillId="35" borderId="42" xfId="0" applyFill="1" applyBorder="1" applyAlignment="1">
      <alignment horizontal="center"/>
    </xf>
    <xf numFmtId="0" fontId="17" fillId="0" borderId="53" xfId="0" applyFont="1" applyBorder="1"/>
    <xf numFmtId="0" fontId="0" fillId="0" borderId="34" xfId="0" applyBorder="1"/>
    <xf numFmtId="0" fontId="0" fillId="0" borderId="19" xfId="0" applyBorder="1" applyAlignment="1">
      <alignment horizontal="center"/>
    </xf>
    <xf numFmtId="3" fontId="0" fillId="0" borderId="54" xfId="0" applyNumberFormat="1" applyBorder="1" applyAlignment="1">
      <alignment horizontal="center"/>
    </xf>
    <xf numFmtId="0" fontId="0" fillId="0" borderId="55" xfId="0" applyBorder="1"/>
    <xf numFmtId="0" fontId="0" fillId="0" borderId="35" xfId="0" applyBorder="1"/>
    <xf numFmtId="0" fontId="44" fillId="0" borderId="30" xfId="0" applyFont="1" applyBorder="1" applyAlignment="1">
      <alignment horizontal="center"/>
    </xf>
    <xf numFmtId="0" fontId="0" fillId="0" borderId="53" xfId="0" applyBorder="1"/>
    <xf numFmtId="0" fontId="0" fillId="43" borderId="36" xfId="0" applyFill="1" applyBorder="1" applyAlignment="1">
      <alignment horizontal="center"/>
    </xf>
    <xf numFmtId="0" fontId="0" fillId="43" borderId="39" xfId="0" applyFill="1" applyBorder="1" applyAlignment="1">
      <alignment horizontal="center"/>
    </xf>
    <xf numFmtId="0" fontId="0" fillId="43" borderId="38" xfId="0" applyFill="1" applyBorder="1"/>
    <xf numFmtId="3" fontId="0" fillId="43" borderId="37" xfId="0" applyNumberFormat="1" applyFill="1" applyBorder="1" applyAlignment="1">
      <alignment horizontal="center"/>
    </xf>
    <xf numFmtId="3" fontId="0" fillId="43" borderId="39" xfId="0" applyNumberFormat="1" applyFill="1" applyBorder="1" applyAlignment="1">
      <alignment horizontal="center"/>
    </xf>
    <xf numFmtId="3" fontId="0" fillId="43" borderId="38" xfId="0" applyNumberFormat="1" applyFill="1" applyBorder="1" applyAlignment="1">
      <alignment horizontal="center"/>
    </xf>
    <xf numFmtId="3" fontId="0" fillId="43" borderId="45" xfId="0" applyNumberFormat="1" applyFill="1" applyBorder="1" applyAlignment="1">
      <alignment horizontal="center"/>
    </xf>
    <xf numFmtId="3" fontId="0" fillId="43" borderId="46" xfId="0" applyNumberFormat="1" applyFill="1" applyBorder="1" applyAlignment="1">
      <alignment horizontal="center"/>
    </xf>
    <xf numFmtId="0" fontId="17" fillId="0" borderId="29" xfId="0" applyFont="1" applyBorder="1"/>
    <xf numFmtId="0" fontId="17" fillId="0" borderId="30" xfId="0" applyFont="1" applyBorder="1"/>
    <xf numFmtId="0" fontId="17" fillId="0" borderId="48" xfId="0" applyFont="1" applyBorder="1"/>
    <xf numFmtId="4" fontId="0" fillId="0" borderId="33" xfId="0" applyNumberFormat="1" applyBorder="1" applyAlignment="1">
      <alignment horizontal="center"/>
    </xf>
    <xf numFmtId="0" fontId="0" fillId="0" borderId="48" xfId="0" applyBorder="1"/>
    <xf numFmtId="4" fontId="0" fillId="0" borderId="42" xfId="0" applyNumberFormat="1" applyBorder="1" applyAlignment="1">
      <alignment horizontal="center"/>
    </xf>
    <xf numFmtId="0" fontId="17" fillId="0" borderId="30" xfId="0" applyFont="1" applyBorder="1" applyAlignment="1">
      <alignment horizontal="center"/>
    </xf>
    <xf numFmtId="4" fontId="0" fillId="0" borderId="3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3" fontId="0" fillId="0" borderId="53" xfId="0" applyNumberFormat="1" applyBorder="1" applyAlignment="1">
      <alignment horizontal="center" vertical="center"/>
    </xf>
    <xf numFmtId="3" fontId="0" fillId="0" borderId="32" xfId="0" applyNumberFormat="1" applyBorder="1" applyAlignment="1">
      <alignment horizontal="center" vertical="center"/>
    </xf>
    <xf numFmtId="3" fontId="0" fillId="0" borderId="34" xfId="0" applyNumberFormat="1" applyBorder="1" applyAlignment="1">
      <alignment horizontal="center" vertical="center"/>
    </xf>
    <xf numFmtId="0" fontId="46" fillId="0" borderId="27" xfId="0" applyFont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1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4" fontId="0" fillId="0" borderId="48" xfId="0" applyNumberFormat="1" applyBorder="1" applyAlignment="1">
      <alignment horizontal="center"/>
    </xf>
    <xf numFmtId="4" fontId="0" fillId="0" borderId="49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4" fontId="0" fillId="0" borderId="53" xfId="0" applyNumberFormat="1" applyBorder="1" applyAlignment="1">
      <alignment horizontal="center"/>
    </xf>
    <xf numFmtId="4" fontId="0" fillId="0" borderId="34" xfId="0" applyNumberFormat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0" fontId="46" fillId="0" borderId="36" xfId="0" applyFont="1" applyBorder="1" applyAlignment="1">
      <alignment horizontal="center"/>
    </xf>
    <xf numFmtId="0" fontId="46" fillId="0" borderId="39" xfId="0" applyFont="1" applyBorder="1" applyAlignment="1">
      <alignment horizontal="center"/>
    </xf>
    <xf numFmtId="0" fontId="46" fillId="35" borderId="38" xfId="0" applyFont="1" applyFill="1" applyBorder="1"/>
    <xf numFmtId="0" fontId="0" fillId="0" borderId="40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35" borderId="49" xfId="0" applyFill="1" applyBorder="1" applyAlignment="1">
      <alignment horizontal="left"/>
    </xf>
    <xf numFmtId="0" fontId="0" fillId="35" borderId="59" xfId="0" applyFill="1" applyBorder="1"/>
    <xf numFmtId="0" fontId="0" fillId="0" borderId="54" xfId="0" applyBorder="1"/>
    <xf numFmtId="0" fontId="0" fillId="0" borderId="62" xfId="0" applyBorder="1"/>
    <xf numFmtId="0" fontId="0" fillId="0" borderId="40" xfId="0" applyBorder="1"/>
    <xf numFmtId="0" fontId="0" fillId="0" borderId="63" xfId="0" applyBorder="1"/>
    <xf numFmtId="0" fontId="46" fillId="0" borderId="57" xfId="0" applyFont="1" applyBorder="1" applyAlignment="1">
      <alignment horizontal="center"/>
    </xf>
    <xf numFmtId="0" fontId="46" fillId="35" borderId="59" xfId="0" applyFont="1" applyFill="1" applyBorder="1"/>
    <xf numFmtId="4" fontId="46" fillId="35" borderId="61" xfId="0" applyNumberFormat="1" applyFont="1" applyFill="1" applyBorder="1" applyAlignment="1">
      <alignment horizontal="center"/>
    </xf>
    <xf numFmtId="4" fontId="0" fillId="0" borderId="51" xfId="0" applyNumberFormat="1" applyBorder="1" applyAlignment="1">
      <alignment horizontal="center"/>
    </xf>
    <xf numFmtId="4" fontId="46" fillId="35" borderId="62" xfId="0" applyNumberFormat="1" applyFont="1" applyFill="1" applyBorder="1" applyAlignment="1">
      <alignment horizontal="center"/>
    </xf>
    <xf numFmtId="0" fontId="46" fillId="35" borderId="49" xfId="0" applyFont="1" applyFill="1" applyBorder="1"/>
    <xf numFmtId="3" fontId="46" fillId="0" borderId="53" xfId="0" applyNumberFormat="1" applyFont="1" applyBorder="1" applyAlignment="1">
      <alignment horizontal="center"/>
    </xf>
    <xf numFmtId="3" fontId="46" fillId="0" borderId="32" xfId="0" applyNumberFormat="1" applyFont="1" applyBorder="1" applyAlignment="1">
      <alignment horizontal="center"/>
    </xf>
    <xf numFmtId="3" fontId="0" fillId="35" borderId="49" xfId="0" applyNumberFormat="1" applyFill="1" applyBorder="1" applyAlignment="1">
      <alignment horizontal="center"/>
    </xf>
    <xf numFmtId="3" fontId="0" fillId="0" borderId="50" xfId="0" applyNumberFormat="1" applyBorder="1" applyAlignment="1">
      <alignment horizontal="center"/>
    </xf>
    <xf numFmtId="3" fontId="0" fillId="0" borderId="52" xfId="0" applyNumberFormat="1" applyBorder="1" applyAlignment="1">
      <alignment horizontal="center"/>
    </xf>
    <xf numFmtId="0" fontId="0" fillId="35" borderId="19" xfId="0" applyFill="1" applyBorder="1"/>
    <xf numFmtId="3" fontId="0" fillId="35" borderId="42" xfId="0" applyNumberFormat="1" applyFill="1" applyBorder="1" applyAlignment="1">
      <alignment horizontal="center"/>
    </xf>
    <xf numFmtId="3" fontId="0" fillId="35" borderId="52" xfId="0" applyNumberFormat="1" applyFill="1" applyBorder="1" applyAlignment="1">
      <alignment horizontal="center"/>
    </xf>
    <xf numFmtId="3" fontId="0" fillId="35" borderId="47" xfId="0" applyNumberFormat="1" applyFill="1" applyBorder="1" applyAlignment="1">
      <alignment horizontal="center"/>
    </xf>
    <xf numFmtId="0" fontId="0" fillId="35" borderId="30" xfId="0" applyFill="1" applyBorder="1" applyAlignment="1">
      <alignment horizontal="center"/>
    </xf>
    <xf numFmtId="0" fontId="0" fillId="36" borderId="30" xfId="0" applyFill="1" applyBorder="1" applyAlignment="1">
      <alignment horizontal="center"/>
    </xf>
    <xf numFmtId="3" fontId="0" fillId="35" borderId="49" xfId="0" applyNumberFormat="1" applyFill="1" applyBorder="1" applyAlignment="1">
      <alignment horizontal="left"/>
    </xf>
    <xf numFmtId="3" fontId="0" fillId="36" borderId="19" xfId="0" applyNumberFormat="1" applyFill="1" applyBorder="1" applyAlignment="1">
      <alignment horizontal="center"/>
    </xf>
    <xf numFmtId="3" fontId="0" fillId="35" borderId="51" xfId="0" applyNumberFormat="1" applyFill="1" applyBorder="1" applyAlignment="1">
      <alignment horizontal="center"/>
    </xf>
    <xf numFmtId="3" fontId="0" fillId="36" borderId="52" xfId="0" applyNumberFormat="1" applyFill="1" applyBorder="1" applyAlignment="1">
      <alignment horizontal="center"/>
    </xf>
    <xf numFmtId="3" fontId="0" fillId="35" borderId="38" xfId="0" applyNumberFormat="1" applyFill="1" applyBorder="1" applyAlignment="1">
      <alignment horizontal="center"/>
    </xf>
    <xf numFmtId="3" fontId="0" fillId="0" borderId="56" xfId="0" applyNumberFormat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35" borderId="33" xfId="0" applyFill="1" applyBorder="1"/>
    <xf numFmtId="0" fontId="0" fillId="0" borderId="48" xfId="0" applyBorder="1" applyAlignment="1">
      <alignment horizontal="centerContinuous"/>
    </xf>
    <xf numFmtId="0" fontId="0" fillId="0" borderId="42" xfId="0" applyBorder="1" applyAlignment="1">
      <alignment horizontal="centerContinuous"/>
    </xf>
    <xf numFmtId="0" fontId="46" fillId="0" borderId="32" xfId="0" applyFont="1" applyBorder="1"/>
    <xf numFmtId="0" fontId="46" fillId="0" borderId="34" xfId="0" applyFont="1" applyBorder="1"/>
    <xf numFmtId="14" fontId="0" fillId="0" borderId="31" xfId="0" applyNumberFormat="1" applyBorder="1"/>
    <xf numFmtId="2" fontId="0" fillId="0" borderId="42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0" fontId="0" fillId="0" borderId="64" xfId="0" applyBorder="1"/>
    <xf numFmtId="0" fontId="0" fillId="0" borderId="65" xfId="0" applyBorder="1" applyAlignment="1">
      <alignment horizontal="center"/>
    </xf>
    <xf numFmtId="0" fontId="0" fillId="35" borderId="29" xfId="0" applyFill="1" applyBorder="1"/>
    <xf numFmtId="0" fontId="0" fillId="35" borderId="30" xfId="0" applyFill="1" applyBorder="1"/>
    <xf numFmtId="0" fontId="0" fillId="35" borderId="32" xfId="0" applyFill="1" applyBorder="1"/>
    <xf numFmtId="0" fontId="46" fillId="0" borderId="32" xfId="0" applyFont="1" applyBorder="1" applyAlignment="1">
      <alignment horizontal="center"/>
    </xf>
    <xf numFmtId="0" fontId="46" fillId="0" borderId="33" xfId="0" applyFont="1" applyBorder="1"/>
    <xf numFmtId="0" fontId="46" fillId="0" borderId="19" xfId="0" applyFont="1" applyBorder="1"/>
    <xf numFmtId="0" fontId="46" fillId="0" borderId="35" xfId="0" applyFont="1" applyBorder="1"/>
    <xf numFmtId="0" fontId="46" fillId="0" borderId="19" xfId="0" applyFont="1" applyBorder="1" applyAlignment="1">
      <alignment horizontal="center"/>
    </xf>
    <xf numFmtId="0" fontId="46" fillId="35" borderId="48" xfId="0" applyFont="1" applyFill="1" applyBorder="1"/>
    <xf numFmtId="0" fontId="46" fillId="0" borderId="61" xfId="0" applyFont="1" applyBorder="1"/>
    <xf numFmtId="0" fontId="49" fillId="35" borderId="59" xfId="0" applyFont="1" applyFill="1" applyBorder="1" applyAlignment="1">
      <alignment vertical="center"/>
    </xf>
    <xf numFmtId="0" fontId="46" fillId="0" borderId="30" xfId="0" applyFont="1" applyBorder="1"/>
    <xf numFmtId="0" fontId="46" fillId="0" borderId="40" xfId="0" applyFont="1" applyBorder="1"/>
    <xf numFmtId="0" fontId="0" fillId="43" borderId="31" xfId="0" applyFill="1" applyBorder="1"/>
    <xf numFmtId="0" fontId="0" fillId="43" borderId="42" xfId="0" applyFill="1" applyBorder="1"/>
    <xf numFmtId="0" fontId="0" fillId="43" borderId="59" xfId="0" applyFill="1" applyBorder="1"/>
    <xf numFmtId="14" fontId="42" fillId="43" borderId="60" xfId="0" applyNumberFormat="1" applyFont="1" applyFill="1" applyBorder="1" applyAlignment="1">
      <alignment horizontal="center"/>
    </xf>
    <xf numFmtId="14" fontId="42" fillId="43" borderId="61" xfId="0" applyNumberFormat="1" applyFont="1" applyFill="1" applyBorder="1" applyAlignment="1">
      <alignment horizontal="center"/>
    </xf>
    <xf numFmtId="0" fontId="42" fillId="43" borderId="59" xfId="0" applyFont="1" applyFill="1" applyBorder="1" applyAlignment="1">
      <alignment horizontal="center"/>
    </xf>
    <xf numFmtId="0" fontId="42" fillId="43" borderId="61" xfId="0" applyFont="1" applyFill="1" applyBorder="1" applyAlignment="1">
      <alignment horizontal="center"/>
    </xf>
    <xf numFmtId="3" fontId="46" fillId="0" borderId="34" xfId="0" applyNumberFormat="1" applyFont="1" applyBorder="1" applyAlignment="1">
      <alignment horizontal="center"/>
    </xf>
    <xf numFmtId="4" fontId="46" fillId="0" borderId="19" xfId="0" applyNumberFormat="1" applyFont="1" applyBorder="1" applyAlignment="1">
      <alignment horizontal="center"/>
    </xf>
    <xf numFmtId="4" fontId="46" fillId="0" borderId="54" xfId="0" applyNumberFormat="1" applyFont="1" applyBorder="1" applyAlignment="1">
      <alignment horizontal="center"/>
    </xf>
    <xf numFmtId="4" fontId="46" fillId="0" borderId="55" xfId="0" applyNumberFormat="1" applyFont="1" applyBorder="1" applyAlignment="1">
      <alignment horizontal="center"/>
    </xf>
    <xf numFmtId="0" fontId="42" fillId="43" borderId="67" xfId="0" applyFont="1" applyFill="1" applyBorder="1" applyAlignment="1">
      <alignment horizontal="center"/>
    </xf>
    <xf numFmtId="0" fontId="0" fillId="35" borderId="31" xfId="0" applyFill="1" applyBorder="1"/>
    <xf numFmtId="0" fontId="0" fillId="35" borderId="34" xfId="0" applyFill="1" applyBorder="1"/>
    <xf numFmtId="0" fontId="0" fillId="35" borderId="35" xfId="0" applyFill="1" applyBorder="1"/>
    <xf numFmtId="0" fontId="0" fillId="35" borderId="31" xfId="0" applyFill="1" applyBorder="1" applyAlignment="1">
      <alignment horizontal="center"/>
    </xf>
    <xf numFmtId="0" fontId="0" fillId="35" borderId="36" xfId="0" quotePrefix="1" applyFill="1" applyBorder="1"/>
    <xf numFmtId="0" fontId="0" fillId="35" borderId="37" xfId="0" quotePrefix="1" applyFill="1" applyBorder="1"/>
    <xf numFmtId="0" fontId="0" fillId="35" borderId="37" xfId="0" applyFill="1" applyBorder="1"/>
    <xf numFmtId="0" fontId="0" fillId="35" borderId="46" xfId="0" applyFill="1" applyBorder="1"/>
    <xf numFmtId="0" fontId="0" fillId="35" borderId="19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5" borderId="33" xfId="0" applyFill="1" applyBorder="1" applyAlignment="1">
      <alignment horizontal="centerContinuous"/>
    </xf>
    <xf numFmtId="0" fontId="0" fillId="35" borderId="33" xfId="0" applyFill="1" applyBorder="1" applyAlignment="1">
      <alignment horizontal="center"/>
    </xf>
    <xf numFmtId="0" fontId="46" fillId="35" borderId="19" xfId="0" applyFont="1" applyFill="1" applyBorder="1"/>
    <xf numFmtId="0" fontId="46" fillId="35" borderId="35" xfId="0" applyFont="1" applyFill="1" applyBorder="1"/>
    <xf numFmtId="0" fontId="0" fillId="35" borderId="36" xfId="0" applyFill="1" applyBorder="1" applyAlignment="1">
      <alignment horizontal="center"/>
    </xf>
    <xf numFmtId="0" fontId="46" fillId="0" borderId="29" xfId="0" applyFont="1" applyBorder="1" applyAlignment="1">
      <alignment horizontal="center"/>
    </xf>
    <xf numFmtId="0" fontId="46" fillId="0" borderId="40" xfId="0" applyFont="1" applyBorder="1" applyAlignment="1">
      <alignment horizontal="center"/>
    </xf>
    <xf numFmtId="0" fontId="47" fillId="0" borderId="57" xfId="0" applyFont="1" applyBorder="1" applyAlignment="1">
      <alignment horizontal="centerContinuous" vertical="center"/>
    </xf>
    <xf numFmtId="0" fontId="46" fillId="0" borderId="48" xfId="0" applyFont="1" applyBorder="1" applyAlignment="1">
      <alignment horizontal="center"/>
    </xf>
    <xf numFmtId="0" fontId="46" fillId="0" borderId="58" xfId="0" applyFont="1" applyBorder="1" applyAlignment="1">
      <alignment horizontal="center" vertical="center"/>
    </xf>
    <xf numFmtId="0" fontId="46" fillId="0" borderId="31" xfId="0" applyFont="1" applyBorder="1"/>
    <xf numFmtId="0" fontId="46" fillId="0" borderId="42" xfId="0" applyFont="1" applyBorder="1"/>
    <xf numFmtId="0" fontId="46" fillId="0" borderId="57" xfId="0" applyFont="1" applyBorder="1"/>
    <xf numFmtId="0" fontId="46" fillId="0" borderId="48" xfId="0" applyFont="1" applyBorder="1"/>
    <xf numFmtId="0" fontId="46" fillId="0" borderId="58" xfId="0" applyFont="1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35" borderId="49" xfId="0" applyFill="1" applyBorder="1" applyAlignment="1">
      <alignment vertical="center"/>
    </xf>
    <xf numFmtId="0" fontId="0" fillId="35" borderId="18" xfId="0" applyFill="1" applyBorder="1" applyAlignment="1">
      <alignment vertical="center"/>
    </xf>
    <xf numFmtId="0" fontId="0" fillId="35" borderId="47" xfId="0" applyFill="1" applyBorder="1" applyAlignment="1">
      <alignment vertical="center"/>
    </xf>
    <xf numFmtId="3" fontId="0" fillId="0" borderId="53" xfId="0" applyNumberFormat="1" applyBorder="1" applyAlignment="1">
      <alignment horizontal="center"/>
    </xf>
    <xf numFmtId="3" fontId="0" fillId="0" borderId="51" xfId="0" applyNumberFormat="1" applyBorder="1" applyAlignment="1">
      <alignment horizontal="center"/>
    </xf>
    <xf numFmtId="3" fontId="0" fillId="0" borderId="63" xfId="0" applyNumberFormat="1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35" borderId="10" xfId="0" applyFill="1" applyBorder="1" applyAlignment="1">
      <alignment vertical="center"/>
    </xf>
    <xf numFmtId="0" fontId="0" fillId="35" borderId="59" xfId="0" applyFill="1" applyBorder="1" applyAlignment="1">
      <alignment vertical="center"/>
    </xf>
    <xf numFmtId="3" fontId="0" fillId="0" borderId="0" xfId="0" applyNumberFormat="1" applyAlignment="1">
      <alignment horizontal="center" vertical="center"/>
    </xf>
    <xf numFmtId="3" fontId="0" fillId="0" borderId="51" xfId="0" applyNumberFormat="1" applyBorder="1" applyAlignment="1">
      <alignment horizontal="center" vertical="center"/>
    </xf>
    <xf numFmtId="0" fontId="71" fillId="0" borderId="29" xfId="0" applyFont="1" applyBorder="1"/>
    <xf numFmtId="0" fontId="71" fillId="0" borderId="30" xfId="0" applyFont="1" applyBorder="1" applyAlignment="1">
      <alignment horizontal="center"/>
    </xf>
    <xf numFmtId="0" fontId="46" fillId="0" borderId="14" xfId="0" applyFont="1" applyBorder="1" applyAlignment="1">
      <alignment horizontal="center"/>
    </xf>
    <xf numFmtId="0" fontId="46" fillId="0" borderId="25" xfId="0" applyFont="1" applyBorder="1" applyAlignment="1">
      <alignment horizontal="center"/>
    </xf>
    <xf numFmtId="0" fontId="51" fillId="0" borderId="0" xfId="0" quotePrefix="1" applyFont="1" applyAlignment="1">
      <alignment horizontal="center"/>
    </xf>
    <xf numFmtId="0" fontId="51" fillId="0" borderId="0" xfId="0" quotePrefix="1" applyFont="1" applyAlignment="1">
      <alignment horizontal="left" vertical="center"/>
    </xf>
    <xf numFmtId="0" fontId="0" fillId="35" borderId="34" xfId="0" quotePrefix="1" applyFill="1" applyBorder="1" applyAlignment="1">
      <alignment horizontal="left"/>
    </xf>
    <xf numFmtId="0" fontId="46" fillId="0" borderId="66" xfId="0" applyFont="1" applyBorder="1" applyAlignment="1">
      <alignment horizontal="center"/>
    </xf>
    <xf numFmtId="4" fontId="0" fillId="0" borderId="60" xfId="421" applyNumberFormat="1" applyFont="1" applyBorder="1" applyAlignment="1">
      <alignment horizontal="center"/>
    </xf>
    <xf numFmtId="4" fontId="0" fillId="0" borderId="61" xfId="421" applyNumberFormat="1" applyFont="1" applyBorder="1" applyAlignment="1">
      <alignment horizontal="center"/>
    </xf>
    <xf numFmtId="4" fontId="0" fillId="0" borderId="58" xfId="421" applyNumberFormat="1" applyFont="1" applyBorder="1" applyAlignment="1">
      <alignment horizontal="center"/>
    </xf>
    <xf numFmtId="0" fontId="54" fillId="44" borderId="13" xfId="0" applyFont="1" applyFill="1" applyBorder="1" applyAlignment="1">
      <alignment horizontal="center" vertical="center"/>
    </xf>
    <xf numFmtId="0" fontId="54" fillId="44" borderId="15" xfId="0" applyFont="1" applyFill="1" applyBorder="1" applyAlignment="1">
      <alignment horizontal="center" vertical="center"/>
    </xf>
    <xf numFmtId="0" fontId="49" fillId="44" borderId="18" xfId="0" applyFont="1" applyFill="1" applyBorder="1" applyAlignment="1">
      <alignment vertical="center"/>
    </xf>
    <xf numFmtId="1" fontId="0" fillId="0" borderId="0" xfId="0" applyNumberFormat="1" applyAlignment="1">
      <alignment horizontal="center" vertical="center"/>
    </xf>
    <xf numFmtId="0" fontId="72" fillId="45" borderId="0" xfId="0" applyFont="1" applyFill="1" applyAlignment="1">
      <alignment horizontal="right" vertical="center"/>
    </xf>
    <xf numFmtId="0" fontId="72" fillId="45" borderId="0" xfId="0" applyFont="1" applyFill="1" applyAlignment="1">
      <alignment horizontal="center" vertical="center"/>
    </xf>
    <xf numFmtId="14" fontId="72" fillId="45" borderId="0" xfId="0" applyNumberFormat="1" applyFont="1" applyFill="1" applyAlignment="1">
      <alignment horizontal="right" vertical="center"/>
    </xf>
    <xf numFmtId="1" fontId="72" fillId="45" borderId="0" xfId="0" applyNumberFormat="1" applyFont="1" applyFill="1" applyAlignment="1">
      <alignment horizontal="center" vertical="center"/>
    </xf>
    <xf numFmtId="9" fontId="72" fillId="45" borderId="0" xfId="421" applyFont="1" applyFill="1" applyAlignment="1">
      <alignment horizontal="center" vertical="center"/>
    </xf>
    <xf numFmtId="0" fontId="72" fillId="49" borderId="0" xfId="0" applyFont="1" applyFill="1" applyAlignment="1">
      <alignment horizontal="right" vertical="center"/>
    </xf>
    <xf numFmtId="0" fontId="72" fillId="49" borderId="0" xfId="0" applyFont="1" applyFill="1" applyAlignment="1">
      <alignment horizontal="center" vertical="center"/>
    </xf>
    <xf numFmtId="1" fontId="72" fillId="49" borderId="0" xfId="0" applyNumberFormat="1" applyFont="1" applyFill="1" applyAlignment="1">
      <alignment horizontal="center" vertical="center"/>
    </xf>
    <xf numFmtId="0" fontId="72" fillId="50" borderId="0" xfId="0" applyFont="1" applyFill="1" applyAlignment="1">
      <alignment horizontal="right" vertical="center"/>
    </xf>
    <xf numFmtId="0" fontId="72" fillId="50" borderId="0" xfId="0" applyFont="1" applyFill="1" applyAlignment="1">
      <alignment horizontal="center" vertical="center"/>
    </xf>
    <xf numFmtId="1" fontId="72" fillId="50" borderId="0" xfId="0" applyNumberFormat="1" applyFont="1" applyFill="1" applyAlignment="1">
      <alignment horizontal="center" vertical="center"/>
    </xf>
    <xf numFmtId="0" fontId="72" fillId="48" borderId="0" xfId="0" applyFont="1" applyFill="1" applyAlignment="1">
      <alignment horizontal="right" vertical="center"/>
    </xf>
    <xf numFmtId="0" fontId="72" fillId="48" borderId="0" xfId="0" applyFont="1" applyFill="1" applyAlignment="1">
      <alignment horizontal="center" vertical="center"/>
    </xf>
    <xf numFmtId="1" fontId="72" fillId="48" borderId="0" xfId="0" applyNumberFormat="1" applyFont="1" applyFill="1" applyAlignment="1">
      <alignment horizontal="center" vertical="center"/>
    </xf>
    <xf numFmtId="0" fontId="72" fillId="51" borderId="0" xfId="0" applyFont="1" applyFill="1" applyAlignment="1">
      <alignment horizontal="right" vertical="center"/>
    </xf>
    <xf numFmtId="0" fontId="72" fillId="51" borderId="0" xfId="0" applyFont="1" applyFill="1" applyAlignment="1">
      <alignment horizontal="center" vertical="center"/>
    </xf>
    <xf numFmtId="1" fontId="72" fillId="51" borderId="0" xfId="0" applyNumberFormat="1" applyFont="1" applyFill="1" applyAlignment="1">
      <alignment horizontal="center" vertical="center"/>
    </xf>
    <xf numFmtId="0" fontId="72" fillId="52" borderId="0" xfId="0" applyFont="1" applyFill="1" applyAlignment="1">
      <alignment horizontal="right" vertical="center"/>
    </xf>
    <xf numFmtId="0" fontId="72" fillId="52" borderId="0" xfId="0" applyFont="1" applyFill="1" applyAlignment="1">
      <alignment horizontal="center" vertical="center"/>
    </xf>
    <xf numFmtId="1" fontId="72" fillId="52" borderId="0" xfId="0" applyNumberFormat="1" applyFont="1" applyFill="1" applyAlignment="1">
      <alignment horizontal="center" vertical="center"/>
    </xf>
    <xf numFmtId="14" fontId="72" fillId="45" borderId="0" xfId="0" applyNumberFormat="1" applyFont="1" applyFill="1" applyAlignment="1">
      <alignment horizontal="left" vertical="center"/>
    </xf>
    <xf numFmtId="1" fontId="72" fillId="48" borderId="68" xfId="0" applyNumberFormat="1" applyFont="1" applyFill="1" applyBorder="1" applyAlignment="1">
      <alignment horizontal="center" vertical="center"/>
    </xf>
    <xf numFmtId="0" fontId="72" fillId="47" borderId="69" xfId="0" applyFont="1" applyFill="1" applyBorder="1" applyAlignment="1">
      <alignment horizontal="center" vertical="center"/>
    </xf>
    <xf numFmtId="0" fontId="72" fillId="47" borderId="70" xfId="0" applyFont="1" applyFill="1" applyBorder="1" applyAlignment="1">
      <alignment horizontal="center" vertical="center"/>
    </xf>
    <xf numFmtId="0" fontId="72" fillId="46" borderId="69" xfId="0" applyFont="1" applyFill="1" applyBorder="1" applyAlignment="1">
      <alignment horizontal="center" vertical="center"/>
    </xf>
    <xf numFmtId="0" fontId="72" fillId="46" borderId="70" xfId="0" applyFont="1" applyFill="1" applyBorder="1" applyAlignment="1">
      <alignment horizontal="center" vertical="center"/>
    </xf>
    <xf numFmtId="0" fontId="72" fillId="46" borderId="68" xfId="0" applyFont="1" applyFill="1" applyBorder="1" applyAlignment="1">
      <alignment horizontal="center" vertical="center"/>
    </xf>
    <xf numFmtId="9" fontId="72" fillId="45" borderId="0" xfId="0" applyNumberFormat="1" applyFont="1" applyFill="1" applyAlignment="1">
      <alignment horizontal="right" vertical="center"/>
    </xf>
    <xf numFmtId="1" fontId="72" fillId="45" borderId="0" xfId="0" applyNumberFormat="1" applyFont="1" applyFill="1" applyAlignment="1">
      <alignment horizontal="right" vertical="center"/>
    </xf>
    <xf numFmtId="9" fontId="72" fillId="45" borderId="0" xfId="0" applyNumberFormat="1" applyFont="1" applyFill="1" applyAlignment="1">
      <alignment horizontal="center" vertical="center"/>
    </xf>
    <xf numFmtId="0" fontId="73" fillId="47" borderId="0" xfId="0" applyFont="1" applyFill="1" applyAlignment="1">
      <alignment horizontal="left" vertical="center"/>
    </xf>
    <xf numFmtId="0" fontId="73" fillId="45" borderId="0" xfId="0" applyFont="1" applyFill="1" applyAlignment="1">
      <alignment horizontal="center" vertical="center"/>
    </xf>
    <xf numFmtId="0" fontId="73" fillId="53" borderId="0" xfId="0" applyFont="1" applyFill="1" applyAlignment="1">
      <alignment horizontal="left" vertical="center"/>
    </xf>
    <xf numFmtId="0" fontId="73" fillId="47" borderId="0" xfId="0" applyFont="1" applyFill="1" applyAlignment="1">
      <alignment horizontal="center" vertical="center"/>
    </xf>
    <xf numFmtId="0" fontId="74" fillId="45" borderId="0" xfId="0" applyFont="1" applyFill="1" applyAlignment="1">
      <alignment horizontal="center" vertical="center"/>
    </xf>
    <xf numFmtId="2" fontId="72" fillId="45" borderId="0" xfId="0" applyNumberFormat="1" applyFont="1" applyFill="1" applyAlignment="1">
      <alignment horizontal="center" vertical="center"/>
    </xf>
    <xf numFmtId="1" fontId="76" fillId="45" borderId="69" xfId="0" applyNumberFormat="1" applyFont="1" applyFill="1" applyBorder="1" applyAlignment="1">
      <alignment horizontal="center" vertical="center"/>
    </xf>
    <xf numFmtId="1" fontId="77" fillId="45" borderId="71" xfId="0" applyNumberFormat="1" applyFont="1" applyFill="1" applyBorder="1" applyAlignment="1">
      <alignment horizontal="center" vertical="center"/>
    </xf>
    <xf numFmtId="1" fontId="78" fillId="45" borderId="70" xfId="0" applyNumberFormat="1" applyFont="1" applyFill="1" applyBorder="1" applyAlignment="1">
      <alignment horizontal="center" vertical="center"/>
    </xf>
    <xf numFmtId="0" fontId="75" fillId="46" borderId="69" xfId="0" applyFont="1" applyFill="1" applyBorder="1" applyAlignment="1">
      <alignment horizontal="center" vertical="center"/>
    </xf>
    <xf numFmtId="0" fontId="75" fillId="50" borderId="71" xfId="0" applyFont="1" applyFill="1" applyBorder="1" applyAlignment="1">
      <alignment horizontal="center" vertical="center"/>
    </xf>
    <xf numFmtId="0" fontId="75" fillId="44" borderId="70" xfId="0" applyFont="1" applyFill="1" applyBorder="1" applyAlignment="1">
      <alignment horizontal="center" vertical="center"/>
    </xf>
    <xf numFmtId="0" fontId="73" fillId="47" borderId="0" xfId="0" applyFont="1" applyFill="1" applyAlignment="1">
      <alignment vertical="center"/>
    </xf>
    <xf numFmtId="0" fontId="72" fillId="46" borderId="0" xfId="0" applyFont="1" applyFill="1" applyAlignment="1">
      <alignment vertical="center"/>
    </xf>
    <xf numFmtId="0" fontId="79" fillId="46" borderId="0" xfId="0" applyFont="1" applyFill="1" applyAlignment="1">
      <alignment horizontal="center" vertical="center"/>
    </xf>
    <xf numFmtId="0" fontId="79" fillId="46" borderId="0" xfId="0" applyFont="1" applyFill="1" applyAlignment="1">
      <alignment vertical="center"/>
    </xf>
    <xf numFmtId="0" fontId="79" fillId="45" borderId="0" xfId="0" applyFont="1" applyFill="1" applyAlignment="1">
      <alignment horizontal="center" vertical="center"/>
    </xf>
    <xf numFmtId="14" fontId="79" fillId="45" borderId="0" xfId="0" applyNumberFormat="1" applyFont="1" applyFill="1" applyAlignment="1">
      <alignment horizontal="right" vertical="center"/>
    </xf>
    <xf numFmtId="14" fontId="79" fillId="45" borderId="0" xfId="0" applyNumberFormat="1" applyFont="1" applyFill="1" applyAlignment="1">
      <alignment horizontal="left" vertical="center"/>
    </xf>
    <xf numFmtId="1" fontId="79" fillId="45" borderId="0" xfId="0" applyNumberFormat="1" applyFont="1" applyFill="1" applyAlignment="1">
      <alignment horizontal="center" vertical="center"/>
    </xf>
    <xf numFmtId="3" fontId="79" fillId="45" borderId="0" xfId="0" applyNumberFormat="1" applyFont="1" applyFill="1" applyAlignment="1">
      <alignment horizontal="center" vertical="center"/>
    </xf>
    <xf numFmtId="1" fontId="79" fillId="48" borderId="68" xfId="0" applyNumberFormat="1" applyFont="1" applyFill="1" applyBorder="1" applyAlignment="1">
      <alignment horizontal="center" vertical="center"/>
    </xf>
    <xf numFmtId="0" fontId="79" fillId="48" borderId="0" xfId="0" applyFont="1" applyFill="1" applyAlignment="1">
      <alignment horizontal="center" vertical="center"/>
    </xf>
    <xf numFmtId="3" fontId="79" fillId="48" borderId="68" xfId="0" applyNumberFormat="1" applyFont="1" applyFill="1" applyBorder="1" applyAlignment="1">
      <alignment horizontal="center" vertical="center"/>
    </xf>
    <xf numFmtId="0" fontId="72" fillId="45" borderId="0" xfId="0" applyFont="1" applyFill="1" applyAlignment="1">
      <alignment horizontal="left" vertical="center"/>
    </xf>
    <xf numFmtId="0" fontId="18" fillId="45" borderId="0" xfId="0" applyFont="1" applyFill="1" applyAlignment="1">
      <alignment horizontal="center" vertical="center"/>
    </xf>
    <xf numFmtId="1" fontId="72" fillId="48" borderId="68" xfId="421" applyNumberFormat="1" applyFont="1" applyFill="1" applyBorder="1" applyAlignment="1">
      <alignment horizontal="center" vertical="center"/>
    </xf>
    <xf numFmtId="0" fontId="18" fillId="45" borderId="0" xfId="0" applyFont="1" applyFill="1"/>
    <xf numFmtId="0" fontId="83" fillId="57" borderId="11" xfId="0" applyFont="1" applyFill="1" applyBorder="1" applyAlignment="1">
      <alignment vertical="center"/>
    </xf>
    <xf numFmtId="0" fontId="83" fillId="57" borderId="26" xfId="0" applyFont="1" applyFill="1" applyBorder="1" applyAlignment="1">
      <alignment vertical="center"/>
    </xf>
    <xf numFmtId="0" fontId="18" fillId="45" borderId="0" xfId="0" applyFont="1" applyFill="1" applyAlignment="1">
      <alignment horizontal="center"/>
    </xf>
    <xf numFmtId="1" fontId="18" fillId="45" borderId="0" xfId="0" applyNumberFormat="1" applyFont="1" applyFill="1" applyAlignment="1">
      <alignment horizontal="center" vertical="center"/>
    </xf>
    <xf numFmtId="14" fontId="18" fillId="45" borderId="0" xfId="0" applyNumberFormat="1" applyFont="1" applyFill="1"/>
    <xf numFmtId="0" fontId="18" fillId="46" borderId="0" xfId="0" applyFont="1" applyFill="1"/>
    <xf numFmtId="1" fontId="18" fillId="45" borderId="0" xfId="0" applyNumberFormat="1" applyFont="1" applyFill="1" applyAlignment="1">
      <alignment horizontal="center"/>
    </xf>
    <xf numFmtId="9" fontId="18" fillId="45" borderId="0" xfId="421" applyFont="1" applyFill="1" applyAlignment="1">
      <alignment horizontal="center"/>
    </xf>
    <xf numFmtId="0" fontId="0" fillId="58" borderId="28" xfId="0" applyFill="1" applyBorder="1"/>
    <xf numFmtId="1" fontId="84" fillId="35" borderId="28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0" fillId="59" borderId="0" xfId="0" applyFill="1" applyAlignment="1">
      <alignment horizontal="center"/>
    </xf>
    <xf numFmtId="0" fontId="0" fillId="0" borderId="15" xfId="0" quotePrefix="1" applyBorder="1" applyAlignment="1">
      <alignment horizontal="center"/>
    </xf>
    <xf numFmtId="2" fontId="0" fillId="59" borderId="0" xfId="0" applyNumberFormat="1" applyFill="1" applyAlignment="1">
      <alignment horizontal="center"/>
    </xf>
    <xf numFmtId="0" fontId="17" fillId="0" borderId="0" xfId="0" applyFont="1" applyAlignment="1">
      <alignment horizontal="center"/>
    </xf>
    <xf numFmtId="0" fontId="0" fillId="0" borderId="12" xfId="0" applyBorder="1" applyAlignment="1">
      <alignment horizontal="left"/>
    </xf>
    <xf numFmtId="14" fontId="85" fillId="0" borderId="13" xfId="0" applyNumberFormat="1" applyFont="1" applyBorder="1" applyAlignment="1">
      <alignment horizontal="center"/>
    </xf>
    <xf numFmtId="0" fontId="15" fillId="0" borderId="24" xfId="0" applyFont="1" applyBorder="1"/>
    <xf numFmtId="20" fontId="0" fillId="0" borderId="0" xfId="0" applyNumberFormat="1"/>
    <xf numFmtId="9" fontId="0" fillId="0" borderId="0" xfId="421" applyFont="1" applyAlignment="1">
      <alignment horizontal="center"/>
    </xf>
    <xf numFmtId="3" fontId="18" fillId="45" borderId="0" xfId="0" applyNumberFormat="1" applyFont="1" applyFill="1" applyAlignment="1">
      <alignment horizontal="center"/>
    </xf>
    <xf numFmtId="0" fontId="18" fillId="45" borderId="0" xfId="0" applyFont="1" applyFill="1" applyAlignment="1">
      <alignment horizontal="left" vertical="center"/>
    </xf>
    <xf numFmtId="0" fontId="83" fillId="45" borderId="0" xfId="0" applyFont="1" applyFill="1" applyAlignment="1">
      <alignment horizontal="center" vertical="center"/>
    </xf>
    <xf numFmtId="0" fontId="83" fillId="47" borderId="0" xfId="0" applyFont="1" applyFill="1" applyAlignment="1">
      <alignment horizontal="center" vertical="center"/>
    </xf>
    <xf numFmtId="0" fontId="83" fillId="46" borderId="0" xfId="0" applyFont="1" applyFill="1" applyAlignment="1">
      <alignment horizontal="center" vertical="center"/>
    </xf>
    <xf numFmtId="0" fontId="83" fillId="44" borderId="0" xfId="0" applyFont="1" applyFill="1" applyAlignment="1">
      <alignment horizontal="center" vertical="center"/>
    </xf>
    <xf numFmtId="0" fontId="14" fillId="48" borderId="0" xfId="0" applyFont="1" applyFill="1" applyAlignment="1">
      <alignment vertical="center"/>
    </xf>
    <xf numFmtId="0" fontId="14" fillId="46" borderId="0" xfId="0" applyFont="1" applyFill="1" applyAlignment="1">
      <alignment horizontal="center"/>
    </xf>
    <xf numFmtId="0" fontId="14" fillId="45" borderId="0" xfId="0" applyFont="1" applyFill="1" applyAlignment="1">
      <alignment horizontal="center"/>
    </xf>
    <xf numFmtId="0" fontId="14" fillId="45" borderId="0" xfId="0" applyFont="1" applyFill="1"/>
    <xf numFmtId="3" fontId="72" fillId="45" borderId="0" xfId="0" applyNumberFormat="1" applyFont="1" applyFill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64" borderId="0" xfId="0" applyFill="1" applyAlignment="1">
      <alignment horizontal="center" vertical="center"/>
    </xf>
    <xf numFmtId="0" fontId="17" fillId="64" borderId="0" xfId="0" applyFont="1" applyFill="1" applyAlignment="1">
      <alignment horizontal="center" vertical="center"/>
    </xf>
    <xf numFmtId="0" fontId="17" fillId="64" borderId="0" xfId="0" applyFont="1" applyFill="1" applyAlignment="1">
      <alignment vertical="center"/>
    </xf>
    <xf numFmtId="0" fontId="0" fillId="43" borderId="24" xfId="0" applyFill="1" applyBorder="1" applyAlignment="1">
      <alignment horizontal="center" vertical="center"/>
    </xf>
    <xf numFmtId="0" fontId="0" fillId="43" borderId="24" xfId="0" applyFill="1" applyBorder="1" applyAlignment="1">
      <alignment vertical="center"/>
    </xf>
    <xf numFmtId="0" fontId="0" fillId="43" borderId="25" xfId="0" applyFill="1" applyBorder="1" applyAlignment="1">
      <alignment horizontal="center" vertical="center"/>
    </xf>
    <xf numFmtId="0" fontId="83" fillId="66" borderId="11" xfId="0" applyFont="1" applyFill="1" applyBorder="1" applyAlignment="1">
      <alignment vertical="center"/>
    </xf>
    <xf numFmtId="0" fontId="42" fillId="44" borderId="26" xfId="0" applyFont="1" applyFill="1" applyBorder="1" applyAlignment="1">
      <alignment horizontal="center" vertical="center"/>
    </xf>
    <xf numFmtId="0" fontId="0" fillId="43" borderId="17" xfId="0" applyFill="1" applyBorder="1" applyAlignment="1">
      <alignment vertical="center"/>
    </xf>
    <xf numFmtId="0" fontId="0" fillId="43" borderId="16" xfId="0" applyFill="1" applyBorder="1" applyAlignment="1">
      <alignment horizontal="center" vertical="center"/>
    </xf>
    <xf numFmtId="0" fontId="86" fillId="64" borderId="72" xfId="0" applyFont="1" applyFill="1" applyBorder="1" applyAlignment="1">
      <alignment vertical="center"/>
    </xf>
    <xf numFmtId="0" fontId="86" fillId="64" borderId="73" xfId="0" applyFont="1" applyFill="1" applyBorder="1" applyAlignment="1">
      <alignment vertical="center"/>
    </xf>
    <xf numFmtId="0" fontId="87" fillId="64" borderId="74" xfId="0" applyFont="1" applyFill="1" applyBorder="1" applyAlignment="1">
      <alignment vertical="center"/>
    </xf>
    <xf numFmtId="0" fontId="86" fillId="64" borderId="74" xfId="0" applyFont="1" applyFill="1" applyBorder="1" applyAlignment="1">
      <alignment vertical="center"/>
    </xf>
    <xf numFmtId="0" fontId="86" fillId="64" borderId="75" xfId="0" applyFont="1" applyFill="1" applyBorder="1" applyAlignment="1">
      <alignment vertical="center"/>
    </xf>
    <xf numFmtId="0" fontId="87" fillId="64" borderId="72" xfId="0" applyFont="1" applyFill="1" applyBorder="1" applyAlignment="1">
      <alignment vertical="center"/>
    </xf>
    <xf numFmtId="0" fontId="86" fillId="64" borderId="76" xfId="0" applyFont="1" applyFill="1" applyBorder="1" applyAlignment="1">
      <alignment horizontal="left" vertical="center"/>
    </xf>
    <xf numFmtId="0" fontId="86" fillId="64" borderId="77" xfId="0" applyFont="1" applyFill="1" applyBorder="1" applyAlignment="1">
      <alignment horizontal="left" vertical="center"/>
    </xf>
    <xf numFmtId="0" fontId="86" fillId="64" borderId="78" xfId="0" applyFont="1" applyFill="1" applyBorder="1" applyAlignment="1">
      <alignment horizontal="left" vertical="center"/>
    </xf>
    <xf numFmtId="0" fontId="86" fillId="64" borderId="0" xfId="0" applyFont="1" applyFill="1" applyAlignment="1">
      <alignment vertical="center"/>
    </xf>
    <xf numFmtId="0" fontId="86" fillId="64" borderId="79" xfId="0" applyFont="1" applyFill="1" applyBorder="1" applyAlignment="1">
      <alignment vertical="center"/>
    </xf>
    <xf numFmtId="0" fontId="0" fillId="67" borderId="18" xfId="0" applyFill="1" applyBorder="1" applyAlignment="1">
      <alignment vertical="center"/>
    </xf>
    <xf numFmtId="0" fontId="0" fillId="67" borderId="10" xfId="0" applyFill="1" applyBorder="1" applyAlignment="1">
      <alignment vertical="center"/>
    </xf>
    <xf numFmtId="0" fontId="86" fillId="64" borderId="80" xfId="0" applyFont="1" applyFill="1" applyBorder="1" applyAlignment="1">
      <alignment horizontal="left" vertical="center"/>
    </xf>
    <xf numFmtId="0" fontId="86" fillId="64" borderId="0" xfId="0" applyFont="1" applyFill="1" applyAlignment="1">
      <alignment horizontal="left" vertical="center"/>
    </xf>
    <xf numFmtId="0" fontId="86" fillId="64" borderId="81" xfId="0" applyFont="1" applyFill="1" applyBorder="1" applyAlignment="1">
      <alignment horizontal="left" vertical="center"/>
    </xf>
    <xf numFmtId="0" fontId="86" fillId="64" borderId="82" xfId="0" applyFont="1" applyFill="1" applyBorder="1" applyAlignment="1">
      <alignment horizontal="left" vertical="center"/>
    </xf>
    <xf numFmtId="0" fontId="86" fillId="64" borderId="83" xfId="0" applyFont="1" applyFill="1" applyBorder="1" applyAlignment="1">
      <alignment horizontal="left" vertical="center"/>
    </xf>
    <xf numFmtId="0" fontId="86" fillId="64" borderId="84" xfId="0" applyFont="1" applyFill="1" applyBorder="1" applyAlignment="1">
      <alignment horizontal="left" vertical="center"/>
    </xf>
    <xf numFmtId="0" fontId="86" fillId="64" borderId="76" xfId="0" applyFont="1" applyFill="1" applyBorder="1" applyAlignment="1">
      <alignment vertical="center"/>
    </xf>
    <xf numFmtId="0" fontId="86" fillId="64" borderId="77" xfId="0" applyFont="1" applyFill="1" applyBorder="1" applyAlignment="1">
      <alignment vertical="center"/>
    </xf>
    <xf numFmtId="0" fontId="86" fillId="64" borderId="78" xfId="0" applyFont="1" applyFill="1" applyBorder="1" applyAlignment="1">
      <alignment vertical="center"/>
    </xf>
    <xf numFmtId="0" fontId="86" fillId="64" borderId="80" xfId="0" applyFont="1" applyFill="1" applyBorder="1" applyAlignment="1">
      <alignment vertical="center"/>
    </xf>
    <xf numFmtId="0" fontId="86" fillId="64" borderId="81" xfId="0" applyFont="1" applyFill="1" applyBorder="1" applyAlignment="1">
      <alignment vertical="center"/>
    </xf>
    <xf numFmtId="0" fontId="86" fillId="64" borderId="82" xfId="0" applyFont="1" applyFill="1" applyBorder="1" applyAlignment="1">
      <alignment vertical="center"/>
    </xf>
    <xf numFmtId="0" fontId="86" fillId="64" borderId="83" xfId="0" applyFont="1" applyFill="1" applyBorder="1" applyAlignment="1">
      <alignment vertical="center"/>
    </xf>
    <xf numFmtId="0" fontId="86" fillId="64" borderId="84" xfId="0" applyFont="1" applyFill="1" applyBorder="1" applyAlignment="1">
      <alignment vertical="center"/>
    </xf>
    <xf numFmtId="0" fontId="86" fillId="64" borderId="85" xfId="0" applyFont="1" applyFill="1" applyBorder="1" applyAlignment="1">
      <alignment vertical="center"/>
    </xf>
    <xf numFmtId="0" fontId="86" fillId="64" borderId="86" xfId="0" applyFont="1" applyFill="1" applyBorder="1" applyAlignment="1">
      <alignment vertical="center"/>
    </xf>
    <xf numFmtId="0" fontId="86" fillId="64" borderId="87" xfId="0" applyFont="1" applyFill="1" applyBorder="1" applyAlignment="1">
      <alignment vertical="center"/>
    </xf>
    <xf numFmtId="0" fontId="87" fillId="64" borderId="88" xfId="0" applyFont="1" applyFill="1" applyBorder="1" applyAlignment="1">
      <alignment vertical="center"/>
    </xf>
    <xf numFmtId="0" fontId="86" fillId="64" borderId="88" xfId="0" applyFont="1" applyFill="1" applyBorder="1" applyAlignment="1">
      <alignment vertical="center"/>
    </xf>
    <xf numFmtId="0" fontId="88" fillId="35" borderId="89" xfId="0" applyFont="1" applyFill="1" applyBorder="1" applyAlignment="1">
      <alignment vertical="center"/>
    </xf>
    <xf numFmtId="0" fontId="86" fillId="64" borderId="89" xfId="0" applyFont="1" applyFill="1" applyBorder="1" applyAlignment="1">
      <alignment vertical="center"/>
    </xf>
    <xf numFmtId="0" fontId="86" fillId="64" borderId="90" xfId="0" applyFont="1" applyFill="1" applyBorder="1" applyAlignment="1">
      <alignment vertical="center"/>
    </xf>
    <xf numFmtId="0" fontId="88" fillId="64" borderId="0" xfId="0" applyFont="1" applyFill="1" applyAlignment="1">
      <alignment vertical="center"/>
    </xf>
    <xf numFmtId="0" fontId="89" fillId="64" borderId="0" xfId="0" applyFont="1" applyFill="1" applyAlignment="1">
      <alignment vertical="center"/>
    </xf>
    <xf numFmtId="0" fontId="17" fillId="68" borderId="26" xfId="0" applyFont="1" applyFill="1" applyBorder="1" applyAlignment="1">
      <alignment horizontal="center" vertical="center"/>
    </xf>
    <xf numFmtId="0" fontId="42" fillId="47" borderId="26" xfId="0" applyFont="1" applyFill="1" applyBorder="1" applyAlignment="1">
      <alignment horizontal="center" vertical="center"/>
    </xf>
    <xf numFmtId="0" fontId="42" fillId="46" borderId="26" xfId="0" applyFont="1" applyFill="1" applyBorder="1" applyAlignment="1">
      <alignment horizontal="center" vertical="center"/>
    </xf>
    <xf numFmtId="0" fontId="42" fillId="57" borderId="26" xfId="0" applyFont="1" applyFill="1" applyBorder="1" applyAlignment="1">
      <alignment horizontal="center" vertical="center"/>
    </xf>
    <xf numFmtId="0" fontId="83" fillId="64" borderId="26" xfId="0" applyFont="1" applyFill="1" applyBorder="1" applyAlignment="1">
      <alignment vertical="center"/>
    </xf>
    <xf numFmtId="0" fontId="42" fillId="64" borderId="0" xfId="0" applyFont="1" applyFill="1" applyAlignment="1">
      <alignment horizontal="center" vertical="center"/>
    </xf>
    <xf numFmtId="0" fontId="83" fillId="64" borderId="0" xfId="0" applyFont="1" applyFill="1" applyAlignment="1">
      <alignment vertical="center"/>
    </xf>
    <xf numFmtId="0" fontId="46" fillId="64" borderId="0" xfId="0" quotePrefix="1" applyFont="1" applyFill="1" applyAlignment="1">
      <alignment horizontal="left" vertical="top" wrapText="1"/>
    </xf>
    <xf numFmtId="0" fontId="1" fillId="64" borderId="0" xfId="0" applyFont="1" applyFill="1" applyAlignment="1">
      <alignment vertical="center"/>
    </xf>
    <xf numFmtId="2" fontId="0" fillId="64" borderId="0" xfId="0" applyNumberFormat="1" applyFill="1" applyAlignment="1">
      <alignment vertical="center"/>
    </xf>
    <xf numFmtId="0" fontId="83" fillId="66" borderId="26" xfId="0" applyFont="1" applyFill="1" applyBorder="1" applyAlignment="1">
      <alignment vertical="center"/>
    </xf>
    <xf numFmtId="0" fontId="49" fillId="0" borderId="24" xfId="0" applyFont="1" applyBorder="1" applyAlignment="1">
      <alignment horizontal="center" vertical="center"/>
    </xf>
    <xf numFmtId="0" fontId="49" fillId="35" borderId="11" xfId="0" applyFont="1" applyFill="1" applyBorder="1" applyAlignment="1">
      <alignment horizontal="center"/>
    </xf>
    <xf numFmtId="0" fontId="49" fillId="35" borderId="10" xfId="0" applyFont="1" applyFill="1" applyBorder="1" applyAlignment="1">
      <alignment horizontal="center"/>
    </xf>
    <xf numFmtId="3" fontId="0" fillId="35" borderId="0" xfId="0" applyNumberFormat="1" applyFill="1" applyAlignment="1">
      <alignment horizontal="center"/>
    </xf>
    <xf numFmtId="0" fontId="49" fillId="0" borderId="15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3" fontId="49" fillId="0" borderId="0" xfId="0" applyNumberFormat="1" applyFont="1" applyAlignment="1">
      <alignment horizontal="center" vertical="center"/>
    </xf>
    <xf numFmtId="3" fontId="49" fillId="0" borderId="15" xfId="0" applyNumberFormat="1" applyFont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167" fontId="18" fillId="45" borderId="0" xfId="0" applyNumberFormat="1" applyFont="1" applyFill="1" applyAlignment="1">
      <alignment horizontal="center" vertical="center"/>
    </xf>
    <xf numFmtId="167" fontId="18" fillId="45" borderId="0" xfId="0" applyNumberFormat="1" applyFont="1" applyFill="1" applyAlignment="1">
      <alignment horizontal="center"/>
    </xf>
    <xf numFmtId="167" fontId="0" fillId="35" borderId="26" xfId="0" applyNumberFormat="1" applyFill="1" applyBorder="1" applyAlignment="1">
      <alignment horizontal="center"/>
    </xf>
    <xf numFmtId="167" fontId="49" fillId="0" borderId="0" xfId="421" applyNumberFormat="1" applyFont="1" applyAlignment="1">
      <alignment horizontal="center" vertical="center"/>
    </xf>
    <xf numFmtId="167" fontId="49" fillId="0" borderId="15" xfId="421" applyNumberFormat="1" applyFont="1" applyBorder="1" applyAlignment="1">
      <alignment horizontal="center"/>
    </xf>
    <xf numFmtId="167" fontId="0" fillId="0" borderId="0" xfId="0" applyNumberFormat="1" applyAlignment="1">
      <alignment horizontal="center"/>
    </xf>
    <xf numFmtId="168" fontId="49" fillId="0" borderId="13" xfId="0" applyNumberFormat="1" applyFont="1" applyBorder="1" applyAlignment="1">
      <alignment horizontal="center" vertical="center"/>
    </xf>
    <xf numFmtId="168" fontId="49" fillId="0" borderId="12" xfId="0" applyNumberFormat="1" applyFont="1" applyBorder="1" applyAlignment="1">
      <alignment horizontal="center" vertical="center"/>
    </xf>
    <xf numFmtId="168" fontId="49" fillId="0" borderId="24" xfId="0" applyNumberFormat="1" applyFont="1" applyBorder="1" applyAlignment="1">
      <alignment horizontal="center"/>
    </xf>
    <xf numFmtId="168" fontId="49" fillId="0" borderId="0" xfId="0" applyNumberFormat="1" applyFont="1" applyAlignment="1">
      <alignment horizontal="center" vertical="center"/>
    </xf>
    <xf numFmtId="168" fontId="49" fillId="0" borderId="24" xfId="0" applyNumberFormat="1" applyFont="1" applyBorder="1" applyAlignment="1">
      <alignment horizontal="center" vertical="center"/>
    </xf>
    <xf numFmtId="168" fontId="49" fillId="0" borderId="14" xfId="0" applyNumberFormat="1" applyFont="1" applyBorder="1" applyAlignment="1">
      <alignment horizontal="center" vertical="center"/>
    </xf>
    <xf numFmtId="167" fontId="49" fillId="0" borderId="36" xfId="421" applyNumberFormat="1" applyFont="1" applyBorder="1" applyAlignment="1">
      <alignment horizontal="center" vertical="center"/>
    </xf>
    <xf numFmtId="167" fontId="49" fillId="0" borderId="17" xfId="0" applyNumberFormat="1" applyFont="1" applyBorder="1" applyAlignment="1">
      <alignment horizontal="center" vertical="center"/>
    </xf>
    <xf numFmtId="167" fontId="49" fillId="0" borderId="46" xfId="421" applyNumberFormat="1" applyFont="1" applyBorder="1" applyAlignment="1">
      <alignment horizontal="center" vertical="center"/>
    </xf>
    <xf numFmtId="168" fontId="49" fillId="0" borderId="17" xfId="0" applyNumberFormat="1" applyFont="1" applyBorder="1" applyAlignment="1">
      <alignment horizontal="center" vertical="center"/>
    </xf>
    <xf numFmtId="168" fontId="49" fillId="0" borderId="15" xfId="0" applyNumberFormat="1" applyFont="1" applyBorder="1" applyAlignment="1">
      <alignment horizontal="center" vertical="center"/>
    </xf>
    <xf numFmtId="168" fontId="49" fillId="0" borderId="17" xfId="0" applyNumberFormat="1" applyFont="1" applyBorder="1" applyAlignment="1">
      <alignment horizontal="center"/>
    </xf>
    <xf numFmtId="167" fontId="49" fillId="0" borderId="17" xfId="421" applyNumberFormat="1" applyFont="1" applyBorder="1" applyAlignment="1">
      <alignment horizontal="center"/>
    </xf>
    <xf numFmtId="167" fontId="49" fillId="0" borderId="16" xfId="421" applyNumberFormat="1" applyFont="1" applyBorder="1" applyAlignment="1">
      <alignment horizontal="center"/>
    </xf>
    <xf numFmtId="167" fontId="49" fillId="0" borderId="18" xfId="0" applyNumberFormat="1" applyFont="1" applyBorder="1" applyAlignment="1">
      <alignment horizontal="center" vertical="center"/>
    </xf>
    <xf numFmtId="168" fontId="49" fillId="0" borderId="0" xfId="0" applyNumberFormat="1" applyFont="1" applyAlignment="1">
      <alignment horizontal="center"/>
    </xf>
    <xf numFmtId="167" fontId="49" fillId="0" borderId="0" xfId="421" applyNumberFormat="1" applyFont="1" applyAlignment="1">
      <alignment horizontal="center"/>
    </xf>
    <xf numFmtId="167" fontId="0" fillId="0" borderId="0" xfId="421" applyNumberFormat="1" applyFont="1" applyAlignment="1">
      <alignment horizontal="center"/>
    </xf>
    <xf numFmtId="168" fontId="49" fillId="0" borderId="25" xfId="0" applyNumberFormat="1" applyFont="1" applyBorder="1" applyAlignment="1">
      <alignment horizontal="center" vertical="center"/>
    </xf>
    <xf numFmtId="168" fontId="49" fillId="0" borderId="16" xfId="0" applyNumberFormat="1" applyFont="1" applyBorder="1" applyAlignment="1">
      <alignment horizontal="center" vertical="center"/>
    </xf>
    <xf numFmtId="167" fontId="0" fillId="0" borderId="15" xfId="421" applyNumberFormat="1" applyFont="1" applyBorder="1" applyAlignment="1">
      <alignment horizontal="center"/>
    </xf>
    <xf numFmtId="168" fontId="49" fillId="0" borderId="10" xfId="0" applyNumberFormat="1" applyFont="1" applyBorder="1" applyAlignment="1">
      <alignment horizontal="center" vertical="center"/>
    </xf>
    <xf numFmtId="167" fontId="0" fillId="0" borderId="19" xfId="421" applyNumberFormat="1" applyFont="1" applyBorder="1" applyAlignment="1">
      <alignment horizontal="center"/>
    </xf>
    <xf numFmtId="177" fontId="49" fillId="0" borderId="0" xfId="0" applyNumberFormat="1" applyFont="1" applyAlignment="1">
      <alignment horizontal="center" vertical="center"/>
    </xf>
    <xf numFmtId="177" fontId="49" fillId="0" borderId="15" xfId="0" applyNumberFormat="1" applyFont="1" applyBorder="1" applyAlignment="1">
      <alignment horizontal="center" vertical="center"/>
    </xf>
    <xf numFmtId="167" fontId="0" fillId="0" borderId="33" xfId="421" applyNumberFormat="1" applyFont="1" applyBorder="1" applyAlignment="1">
      <alignment horizontal="center"/>
    </xf>
    <xf numFmtId="167" fontId="0" fillId="0" borderId="52" xfId="421" applyNumberFormat="1" applyFont="1" applyBorder="1"/>
    <xf numFmtId="167" fontId="49" fillId="0" borderId="13" xfId="0" applyNumberFormat="1" applyFont="1" applyBorder="1" applyAlignment="1">
      <alignment horizontal="center"/>
    </xf>
    <xf numFmtId="167" fontId="49" fillId="0" borderId="0" xfId="0" applyNumberFormat="1" applyFont="1" applyAlignment="1">
      <alignment horizontal="center"/>
    </xf>
    <xf numFmtId="167" fontId="0" fillId="0" borderId="33" xfId="0" applyNumberFormat="1" applyBorder="1" applyAlignment="1">
      <alignment horizontal="center"/>
    </xf>
    <xf numFmtId="167" fontId="56" fillId="0" borderId="0" xfId="0" applyNumberFormat="1" applyFont="1" applyAlignment="1">
      <alignment horizontal="center"/>
    </xf>
    <xf numFmtId="167" fontId="0" fillId="0" borderId="0" xfId="0" applyNumberFormat="1"/>
    <xf numFmtId="167" fontId="49" fillId="0" borderId="25" xfId="0" applyNumberFormat="1" applyFont="1" applyBorder="1" applyAlignment="1">
      <alignment horizontal="center"/>
    </xf>
    <xf numFmtId="167" fontId="56" fillId="0" borderId="25" xfId="0" applyNumberFormat="1" applyFont="1" applyBorder="1" applyAlignment="1">
      <alignment horizontal="center"/>
    </xf>
    <xf numFmtId="167" fontId="0" fillId="37" borderId="35" xfId="0" applyNumberFormat="1" applyFill="1" applyBorder="1" applyAlignment="1">
      <alignment horizontal="center"/>
    </xf>
    <xf numFmtId="167" fontId="0" fillId="0" borderId="35" xfId="421" applyNumberFormat="1" applyFont="1" applyBorder="1" applyAlignment="1">
      <alignment horizontal="center"/>
    </xf>
    <xf numFmtId="167" fontId="53" fillId="0" borderId="14" xfId="421" applyNumberFormat="1" applyFont="1" applyBorder="1" applyAlignment="1">
      <alignment horizontal="center" vertical="center"/>
    </xf>
    <xf numFmtId="168" fontId="55" fillId="0" borderId="13" xfId="0" applyNumberFormat="1" applyFont="1" applyBorder="1" applyAlignment="1">
      <alignment horizontal="center" vertical="center"/>
    </xf>
    <xf numFmtId="168" fontId="49" fillId="0" borderId="22" xfId="0" applyNumberFormat="1" applyFont="1" applyBorder="1" applyAlignment="1">
      <alignment horizontal="center" vertical="center"/>
    </xf>
    <xf numFmtId="167" fontId="53" fillId="0" borderId="25" xfId="421" applyNumberFormat="1" applyFont="1" applyBorder="1" applyAlignment="1">
      <alignment horizontal="center" vertical="center"/>
    </xf>
    <xf numFmtId="168" fontId="55" fillId="0" borderId="0" xfId="0" applyNumberFormat="1" applyFont="1" applyAlignment="1">
      <alignment horizontal="center" vertical="center"/>
    </xf>
    <xf numFmtId="168" fontId="49" fillId="0" borderId="27" xfId="0" applyNumberFormat="1" applyFont="1" applyBorder="1" applyAlignment="1">
      <alignment horizontal="center" vertical="center"/>
    </xf>
    <xf numFmtId="167" fontId="53" fillId="0" borderId="16" xfId="421" applyNumberFormat="1" applyFont="1" applyBorder="1" applyAlignment="1">
      <alignment horizontal="center" vertical="center"/>
    </xf>
    <xf numFmtId="179" fontId="72" fillId="45" borderId="0" xfId="714" applyNumberFormat="1" applyFont="1" applyFill="1" applyAlignment="1">
      <alignment horizontal="right" vertical="center"/>
    </xf>
    <xf numFmtId="179" fontId="72" fillId="45" borderId="0" xfId="0" applyNumberFormat="1" applyFont="1" applyFill="1" applyAlignment="1">
      <alignment horizontal="center" vertical="center"/>
    </xf>
    <xf numFmtId="167" fontId="0" fillId="0" borderId="25" xfId="421" applyNumberFormat="1" applyFont="1" applyBorder="1" applyAlignment="1">
      <alignment horizontal="center"/>
    </xf>
    <xf numFmtId="0" fontId="17" fillId="64" borderId="30" xfId="0" applyFont="1" applyFill="1" applyBorder="1" applyAlignment="1">
      <alignment horizontal="center" vertical="center"/>
    </xf>
    <xf numFmtId="0" fontId="17" fillId="64" borderId="30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18" xfId="0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24" xfId="0" applyBorder="1"/>
    <xf numFmtId="0" fontId="0" fillId="64" borderId="0" xfId="0" applyFill="1" applyAlignment="1">
      <alignment vertical="center"/>
    </xf>
    <xf numFmtId="0" fontId="0" fillId="0" borderId="25" xfId="0" applyBorder="1"/>
    <xf numFmtId="0" fontId="0" fillId="0" borderId="17" xfId="0" applyBorder="1"/>
    <xf numFmtId="0" fontId="0" fillId="0" borderId="15" xfId="0" applyBorder="1"/>
    <xf numFmtId="0" fontId="0" fillId="0" borderId="16" xfId="0" applyBorder="1"/>
    <xf numFmtId="0" fontId="42" fillId="64" borderId="0" xfId="0" applyFont="1" applyFill="1" applyAlignment="1">
      <alignment vertical="center"/>
    </xf>
    <xf numFmtId="0" fontId="42" fillId="64" borderId="0" xfId="0" applyFont="1" applyFill="1" applyAlignment="1">
      <alignment horizontal="left" vertical="center"/>
    </xf>
    <xf numFmtId="0" fontId="49" fillId="0" borderId="25" xfId="0" applyFont="1" applyBorder="1" applyAlignment="1">
      <alignment horizontal="center" vertical="center"/>
    </xf>
    <xf numFmtId="3" fontId="49" fillId="0" borderId="16" xfId="0" applyNumberFormat="1" applyFont="1" applyBorder="1" applyAlignment="1">
      <alignment horizontal="center" vertical="center"/>
    </xf>
    <xf numFmtId="3" fontId="49" fillId="0" borderId="14" xfId="0" applyNumberFormat="1" applyFont="1" applyBorder="1" applyAlignment="1">
      <alignment horizontal="center"/>
    </xf>
    <xf numFmtId="0" fontId="49" fillId="0" borderId="14" xfId="0" applyFont="1" applyBorder="1" applyAlignment="1">
      <alignment horizontal="center" vertical="center"/>
    </xf>
    <xf numFmtId="3" fontId="0" fillId="35" borderId="19" xfId="0" applyNumberFormat="1" applyFill="1" applyBorder="1" applyAlignment="1">
      <alignment horizontal="center"/>
    </xf>
    <xf numFmtId="0" fontId="0" fillId="0" borderId="19" xfId="0" applyBorder="1"/>
    <xf numFmtId="0" fontId="49" fillId="0" borderId="17" xfId="0" applyFont="1" applyBorder="1" applyAlignment="1">
      <alignment horizontal="center" vertical="center"/>
    </xf>
    <xf numFmtId="3" fontId="0" fillId="35" borderId="33" xfId="0" applyNumberFormat="1" applyFill="1" applyBorder="1" applyAlignment="1">
      <alignment horizontal="center"/>
    </xf>
    <xf numFmtId="0" fontId="0" fillId="0" borderId="33" xfId="0" applyBorder="1"/>
    <xf numFmtId="0" fontId="49" fillId="0" borderId="16" xfId="0" applyFont="1" applyBorder="1" applyAlignment="1">
      <alignment horizontal="center" vertical="center"/>
    </xf>
    <xf numFmtId="3" fontId="49" fillId="0" borderId="25" xfId="0" applyNumberFormat="1" applyFont="1" applyBorder="1" applyAlignment="1">
      <alignment horizontal="center" vertical="center"/>
    </xf>
    <xf numFmtId="0" fontId="0" fillId="46" borderId="26" xfId="0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64" borderId="0" xfId="0" applyNumberFormat="1" applyFill="1" applyAlignment="1">
      <alignment horizontal="center" vertical="center"/>
    </xf>
    <xf numFmtId="166" fontId="18" fillId="45" borderId="0" xfId="0" applyNumberFormat="1" applyFont="1" applyFill="1" applyAlignment="1">
      <alignment horizontal="center" vertical="center"/>
    </xf>
    <xf numFmtId="165" fontId="18" fillId="45" borderId="0" xfId="421" applyNumberFormat="1" applyFont="1" applyFill="1" applyAlignment="1">
      <alignment horizontal="center"/>
    </xf>
    <xf numFmtId="165" fontId="14" fillId="48" borderId="0" xfId="0" applyNumberFormat="1" applyFont="1" applyFill="1" applyAlignment="1">
      <alignment horizontal="center"/>
    </xf>
    <xf numFmtId="165" fontId="18" fillId="45" borderId="0" xfId="0" applyNumberFormat="1" applyFont="1" applyFill="1" applyAlignment="1">
      <alignment horizontal="center"/>
    </xf>
    <xf numFmtId="165" fontId="49" fillId="0" borderId="0" xfId="0" applyNumberFormat="1" applyFont="1" applyAlignment="1">
      <alignment horizontal="center" vertical="center"/>
    </xf>
    <xf numFmtId="164" fontId="0" fillId="35" borderId="30" xfId="0" applyNumberFormat="1" applyFill="1" applyBorder="1" applyAlignment="1">
      <alignment horizontal="center"/>
    </xf>
    <xf numFmtId="164" fontId="0" fillId="35" borderId="28" xfId="0" applyNumberFormat="1" applyFill="1" applyBorder="1" applyAlignment="1">
      <alignment horizontal="center"/>
    </xf>
    <xf numFmtId="164" fontId="0" fillId="35" borderId="0" xfId="0" applyNumberFormat="1" applyFill="1" applyAlignment="1">
      <alignment horizontal="center"/>
    </xf>
    <xf numFmtId="165" fontId="49" fillId="0" borderId="0" xfId="0" applyNumberFormat="1" applyFont="1" applyAlignment="1">
      <alignment horizontal="right" vertical="center"/>
    </xf>
    <xf numFmtId="166" fontId="49" fillId="0" borderId="25" xfId="0" applyNumberFormat="1" applyFont="1" applyBorder="1" applyAlignment="1">
      <alignment horizontal="center"/>
    </xf>
    <xf numFmtId="166" fontId="49" fillId="0" borderId="14" xfId="0" applyNumberFormat="1" applyFont="1" applyBorder="1" applyAlignment="1">
      <alignment horizontal="center" vertical="center"/>
    </xf>
    <xf numFmtId="169" fontId="49" fillId="0" borderId="12" xfId="0" applyNumberFormat="1" applyFont="1" applyBorder="1" applyAlignment="1">
      <alignment horizontal="center" vertical="center"/>
    </xf>
    <xf numFmtId="169" fontId="49" fillId="0" borderId="14" xfId="0" applyNumberFormat="1" applyFont="1" applyBorder="1" applyAlignment="1">
      <alignment horizontal="center" vertical="center"/>
    </xf>
    <xf numFmtId="166" fontId="49" fillId="0" borderId="25" xfId="0" applyNumberFormat="1" applyFont="1" applyBorder="1" applyAlignment="1">
      <alignment horizontal="center" vertical="center"/>
    </xf>
    <xf numFmtId="169" fontId="49" fillId="0" borderId="24" xfId="0" applyNumberFormat="1" applyFont="1" applyBorder="1" applyAlignment="1">
      <alignment horizontal="center" vertical="center"/>
    </xf>
    <xf numFmtId="169" fontId="49" fillId="0" borderId="25" xfId="0" applyNumberFormat="1" applyFont="1" applyBorder="1" applyAlignment="1">
      <alignment horizontal="center" vertical="center"/>
    </xf>
    <xf numFmtId="164" fontId="46" fillId="0" borderId="14" xfId="0" applyNumberFormat="1" applyFont="1" applyBorder="1" applyAlignment="1">
      <alignment horizontal="center" vertical="center"/>
    </xf>
    <xf numFmtId="166" fontId="0" fillId="35" borderId="37" xfId="0" applyNumberFormat="1" applyFill="1" applyBorder="1" applyAlignment="1">
      <alignment horizontal="center"/>
    </xf>
    <xf numFmtId="165" fontId="49" fillId="0" borderId="14" xfId="0" applyNumberFormat="1" applyFont="1" applyBorder="1" applyAlignment="1">
      <alignment horizontal="center"/>
    </xf>
    <xf numFmtId="170" fontId="49" fillId="0" borderId="24" xfId="0" applyNumberFormat="1" applyFont="1" applyBorder="1" applyAlignment="1">
      <alignment horizontal="center" vertical="center"/>
    </xf>
    <xf numFmtId="170" fontId="49" fillId="0" borderId="25" xfId="0" applyNumberFormat="1" applyFont="1" applyBorder="1" applyAlignment="1">
      <alignment horizontal="center" vertical="center"/>
    </xf>
    <xf numFmtId="165" fontId="49" fillId="0" borderId="25" xfId="0" applyNumberFormat="1" applyFont="1" applyBorder="1" applyAlignment="1">
      <alignment horizontal="center"/>
    </xf>
    <xf numFmtId="164" fontId="46" fillId="0" borderId="24" xfId="0" applyNumberFormat="1" applyFont="1" applyBorder="1" applyAlignment="1">
      <alignment horizontal="center"/>
    </xf>
    <xf numFmtId="164" fontId="46" fillId="0" borderId="25" xfId="0" applyNumberFormat="1" applyFont="1" applyBorder="1" applyAlignment="1">
      <alignment horizontal="center"/>
    </xf>
    <xf numFmtId="166" fontId="69" fillId="35" borderId="37" xfId="0" applyNumberFormat="1" applyFont="1" applyFill="1" applyBorder="1" applyAlignment="1">
      <alignment horizontal="center"/>
    </xf>
    <xf numFmtId="166" fontId="49" fillId="0" borderId="17" xfId="0" applyNumberFormat="1" applyFont="1" applyBorder="1" applyAlignment="1">
      <alignment horizontal="center" vertical="center"/>
    </xf>
    <xf numFmtId="166" fontId="49" fillId="0" borderId="15" xfId="0" applyNumberFormat="1" applyFont="1" applyBorder="1" applyAlignment="1">
      <alignment horizontal="center" vertical="center"/>
    </xf>
    <xf numFmtId="166" fontId="49" fillId="0" borderId="16" xfId="0" applyNumberFormat="1" applyFont="1" applyBorder="1" applyAlignment="1">
      <alignment horizontal="center" vertical="center"/>
    </xf>
    <xf numFmtId="166" fontId="49" fillId="0" borderId="16" xfId="0" applyNumberFormat="1" applyFont="1" applyBorder="1" applyAlignment="1">
      <alignment horizontal="center"/>
    </xf>
    <xf numFmtId="169" fontId="49" fillId="0" borderId="17" xfId="0" applyNumberFormat="1" applyFont="1" applyBorder="1" applyAlignment="1">
      <alignment horizontal="center" vertical="center"/>
    </xf>
    <xf numFmtId="169" fontId="49" fillId="0" borderId="16" xfId="0" applyNumberFormat="1" applyFont="1" applyBorder="1" applyAlignment="1">
      <alignment horizontal="center" vertical="center"/>
    </xf>
    <xf numFmtId="165" fontId="49" fillId="0" borderId="16" xfId="0" applyNumberFormat="1" applyFont="1" applyBorder="1" applyAlignment="1">
      <alignment horizontal="center"/>
    </xf>
    <xf numFmtId="166" fontId="0" fillId="35" borderId="46" xfId="0" applyNumberFormat="1" applyFill="1" applyBorder="1" applyAlignment="1">
      <alignment horizontal="center"/>
    </xf>
    <xf numFmtId="166" fontId="49" fillId="0" borderId="18" xfId="0" applyNumberFormat="1" applyFont="1" applyBorder="1" applyAlignment="1">
      <alignment horizontal="center" vertical="center"/>
    </xf>
    <xf numFmtId="166" fontId="49" fillId="0" borderId="0" xfId="0" applyNumberFormat="1" applyFont="1" applyAlignment="1">
      <alignment horizontal="center" vertical="center"/>
    </xf>
    <xf numFmtId="166" fontId="49" fillId="0" borderId="0" xfId="0" applyNumberFormat="1" applyFont="1" applyAlignment="1">
      <alignment horizontal="center"/>
    </xf>
    <xf numFmtId="169" fontId="49" fillId="0" borderId="0" xfId="0" applyNumberFormat="1" applyFont="1" applyAlignment="1">
      <alignment horizontal="center" vertical="center"/>
    </xf>
    <xf numFmtId="165" fontId="49" fillId="0" borderId="0" xfId="0" applyNumberFormat="1" applyFont="1" applyAlignment="1">
      <alignment horizontal="center"/>
    </xf>
    <xf numFmtId="164" fontId="49" fillId="0" borderId="22" xfId="0" applyNumberFormat="1" applyFont="1" applyBorder="1" applyAlignment="1">
      <alignment horizontal="center" vertical="center"/>
    </xf>
    <xf numFmtId="171" fontId="49" fillId="0" borderId="24" xfId="0" applyNumberFormat="1" applyFont="1" applyBorder="1" applyAlignment="1">
      <alignment horizontal="center" vertical="center"/>
    </xf>
    <xf numFmtId="171" fontId="49" fillId="0" borderId="0" xfId="0" applyNumberFormat="1" applyFont="1" applyAlignment="1">
      <alignment horizontal="center" vertical="center"/>
    </xf>
    <xf numFmtId="172" fontId="49" fillId="0" borderId="0" xfId="0" applyNumberFormat="1" applyFont="1" applyAlignment="1">
      <alignment horizontal="center" vertical="center"/>
    </xf>
    <xf numFmtId="165" fontId="49" fillId="0" borderId="25" xfId="0" applyNumberFormat="1" applyFont="1" applyBorder="1" applyAlignment="1">
      <alignment horizontal="center" vertical="center"/>
    </xf>
    <xf numFmtId="173" fontId="49" fillId="0" borderId="0" xfId="0" applyNumberFormat="1" applyFont="1" applyAlignment="1">
      <alignment horizontal="center" vertical="center"/>
    </xf>
    <xf numFmtId="166" fontId="49" fillId="0" borderId="24" xfId="0" applyNumberFormat="1" applyFont="1" applyBorder="1" applyAlignment="1">
      <alignment horizontal="center" vertical="center"/>
    </xf>
    <xf numFmtId="174" fontId="49" fillId="0" borderId="0" xfId="0" applyNumberFormat="1" applyFont="1" applyAlignment="1">
      <alignment horizontal="center" vertical="center"/>
    </xf>
    <xf numFmtId="175" fontId="49" fillId="0" borderId="24" xfId="0" applyNumberFormat="1" applyFont="1" applyBorder="1" applyAlignment="1">
      <alignment horizontal="center" vertical="center"/>
    </xf>
    <xf numFmtId="166" fontId="46" fillId="0" borderId="25" xfId="0" applyNumberFormat="1" applyFont="1" applyBorder="1" applyAlignment="1">
      <alignment horizontal="center" vertical="center"/>
    </xf>
    <xf numFmtId="166" fontId="46" fillId="0" borderId="45" xfId="0" applyNumberFormat="1" applyFont="1" applyBorder="1" applyAlignment="1">
      <alignment horizontal="center"/>
    </xf>
    <xf numFmtId="166" fontId="0" fillId="0" borderId="3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35" borderId="33" xfId="0" applyNumberFormat="1" applyFill="1" applyBorder="1" applyAlignment="1">
      <alignment horizontal="center"/>
    </xf>
    <xf numFmtId="166" fontId="0" fillId="35" borderId="0" xfId="0" applyNumberFormat="1" applyFill="1" applyAlignment="1">
      <alignment horizontal="center"/>
    </xf>
    <xf numFmtId="166" fontId="0" fillId="0" borderId="53" xfId="0" applyNumberForma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33" xfId="0" applyNumberFormat="1" applyBorder="1" applyAlignment="1">
      <alignment horizontal="center"/>
    </xf>
    <xf numFmtId="166" fontId="46" fillId="0" borderId="53" xfId="0" applyNumberFormat="1" applyFont="1" applyBorder="1" applyAlignment="1">
      <alignment horizontal="center"/>
    </xf>
    <xf numFmtId="166" fontId="46" fillId="0" borderId="13" xfId="0" applyNumberFormat="1" applyFont="1" applyBorder="1" applyAlignment="1">
      <alignment horizontal="center"/>
    </xf>
    <xf numFmtId="164" fontId="49" fillId="0" borderId="27" xfId="0" applyNumberFormat="1" applyFont="1" applyBorder="1" applyAlignment="1">
      <alignment horizontal="center" vertical="center"/>
    </xf>
    <xf numFmtId="166" fontId="46" fillId="0" borderId="37" xfId="0" applyNumberFormat="1" applyFont="1" applyBorder="1" applyAlignment="1">
      <alignment horizontal="center"/>
    </xf>
    <xf numFmtId="166" fontId="0" fillId="0" borderId="33" xfId="0" applyNumberFormat="1" applyBorder="1" applyAlignment="1">
      <alignment horizontal="center"/>
    </xf>
    <xf numFmtId="176" fontId="0" fillId="0" borderId="33" xfId="0" applyNumberFormat="1" applyBorder="1" applyAlignment="1">
      <alignment horizontal="center"/>
    </xf>
    <xf numFmtId="166" fontId="0" fillId="0" borderId="15" xfId="0" applyNumberFormat="1" applyBorder="1"/>
    <xf numFmtId="166" fontId="0" fillId="0" borderId="15" xfId="0" applyNumberFormat="1" applyBorder="1" applyAlignment="1">
      <alignment horizontal="center"/>
    </xf>
    <xf numFmtId="165" fontId="49" fillId="0" borderId="15" xfId="0" applyNumberFormat="1" applyFont="1" applyBorder="1" applyAlignment="1">
      <alignment horizontal="center" vertical="center"/>
    </xf>
    <xf numFmtId="166" fontId="0" fillId="0" borderId="48" xfId="0" applyNumberFormat="1" applyBorder="1" applyAlignment="1">
      <alignment horizontal="center"/>
    </xf>
    <xf numFmtId="166" fontId="0" fillId="35" borderId="42" xfId="0" applyNumberFormat="1" applyFill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71" fontId="49" fillId="0" borderId="12" xfId="0" applyNumberFormat="1" applyFont="1" applyBorder="1" applyAlignment="1">
      <alignment horizontal="center" vertical="center"/>
    </xf>
    <xf numFmtId="166" fontId="49" fillId="0" borderId="13" xfId="0" applyNumberFormat="1" applyFont="1" applyBorder="1" applyAlignment="1">
      <alignment horizontal="center" vertical="center"/>
    </xf>
    <xf numFmtId="171" fontId="49" fillId="0" borderId="13" xfId="0" applyNumberFormat="1" applyFont="1" applyBorder="1" applyAlignment="1">
      <alignment horizontal="center" vertical="center"/>
    </xf>
    <xf numFmtId="172" fontId="49" fillId="0" borderId="13" xfId="0" applyNumberFormat="1" applyFont="1" applyBorder="1" applyAlignment="1">
      <alignment horizontal="center" vertical="center"/>
    </xf>
    <xf numFmtId="165" fontId="49" fillId="0" borderId="14" xfId="0" applyNumberFormat="1" applyFont="1" applyBorder="1" applyAlignment="1">
      <alignment horizontal="center" vertical="center"/>
    </xf>
    <xf numFmtId="165" fontId="49" fillId="0" borderId="13" xfId="0" applyNumberFormat="1" applyFont="1" applyBorder="1" applyAlignment="1">
      <alignment horizontal="center" vertical="center"/>
    </xf>
    <xf numFmtId="172" fontId="49" fillId="0" borderId="18" xfId="0" applyNumberFormat="1" applyFont="1" applyBorder="1" applyAlignment="1">
      <alignment horizontal="center" vertical="center"/>
    </xf>
    <xf numFmtId="173" fontId="49" fillId="0" borderId="13" xfId="0" applyNumberFormat="1" applyFont="1" applyBorder="1" applyAlignment="1">
      <alignment horizontal="center" vertical="center"/>
    </xf>
    <xf numFmtId="165" fontId="49" fillId="0" borderId="18" xfId="0" applyNumberFormat="1" applyFont="1" applyBorder="1" applyAlignment="1">
      <alignment horizontal="center" vertical="center"/>
    </xf>
    <xf numFmtId="174" fontId="49" fillId="0" borderId="18" xfId="0" applyNumberFormat="1" applyFont="1" applyBorder="1" applyAlignment="1">
      <alignment horizontal="center" vertical="center"/>
    </xf>
    <xf numFmtId="175" fontId="49" fillId="35" borderId="28" xfId="0" applyNumberFormat="1" applyFont="1" applyFill="1" applyBorder="1" applyAlignment="1">
      <alignment horizontal="center" vertical="center"/>
    </xf>
    <xf numFmtId="166" fontId="49" fillId="0" borderId="10" xfId="0" applyNumberFormat="1" applyFont="1" applyBorder="1" applyAlignment="1">
      <alignment horizontal="center" vertical="center"/>
    </xf>
    <xf numFmtId="166" fontId="46" fillId="0" borderId="10" xfId="0" applyNumberFormat="1" applyFont="1" applyBorder="1" applyAlignment="1">
      <alignment horizontal="center" vertical="center"/>
    </xf>
    <xf numFmtId="166" fontId="0" fillId="35" borderId="35" xfId="0" applyNumberFormat="1" applyFill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166" fontId="0" fillId="0" borderId="51" xfId="0" applyNumberFormat="1" applyBorder="1" applyAlignment="1">
      <alignment horizontal="center"/>
    </xf>
    <xf numFmtId="166" fontId="0" fillId="35" borderId="51" xfId="0" applyNumberFormat="1" applyFill="1" applyBorder="1" applyAlignment="1">
      <alignment horizontal="center"/>
    </xf>
    <xf numFmtId="166" fontId="0" fillId="35" borderId="52" xfId="0" applyNumberFormat="1" applyFill="1" applyBorder="1" applyAlignment="1">
      <alignment horizontal="center"/>
    </xf>
    <xf numFmtId="165" fontId="0" fillId="0" borderId="49" xfId="0" applyNumberFormat="1" applyBorder="1" applyAlignment="1">
      <alignment horizontal="center"/>
    </xf>
    <xf numFmtId="166" fontId="0" fillId="0" borderId="18" xfId="0" applyNumberFormat="1" applyBorder="1" applyAlignment="1">
      <alignment horizontal="center"/>
    </xf>
    <xf numFmtId="165" fontId="0" fillId="0" borderId="47" xfId="0" applyNumberFormat="1" applyBorder="1" applyAlignment="1">
      <alignment horizontal="center"/>
    </xf>
    <xf numFmtId="166" fontId="0" fillId="0" borderId="50" xfId="0" applyNumberFormat="1" applyBorder="1" applyAlignment="1">
      <alignment horizontal="center"/>
    </xf>
    <xf numFmtId="166" fontId="0" fillId="0" borderId="52" xfId="0" applyNumberFormat="1" applyBorder="1" applyAlignment="1">
      <alignment horizontal="center"/>
    </xf>
    <xf numFmtId="166" fontId="0" fillId="0" borderId="34" xfId="0" applyNumberFormat="1" applyBorder="1" applyAlignment="1">
      <alignment horizontal="center"/>
    </xf>
    <xf numFmtId="166" fontId="0" fillId="0" borderId="35" xfId="0" applyNumberFormat="1" applyBorder="1" applyAlignment="1">
      <alignment horizontal="center"/>
    </xf>
    <xf numFmtId="166" fontId="55" fillId="0" borderId="14" xfId="0" applyNumberFormat="1" applyFont="1" applyBorder="1" applyAlignment="1">
      <alignment horizontal="center" vertical="center"/>
    </xf>
    <xf numFmtId="166" fontId="46" fillId="0" borderId="14" xfId="0" applyNumberFormat="1" applyFont="1" applyBorder="1" applyAlignment="1">
      <alignment horizontal="center" vertical="center"/>
    </xf>
    <xf numFmtId="165" fontId="0" fillId="0" borderId="41" xfId="0" applyNumberFormat="1" applyBorder="1" applyAlignment="1">
      <alignment horizontal="center"/>
    </xf>
    <xf numFmtId="165" fontId="0" fillId="0" borderId="53" xfId="0" applyNumberFormat="1" applyBorder="1" applyAlignment="1">
      <alignment horizontal="center"/>
    </xf>
    <xf numFmtId="166" fontId="55" fillId="0" borderId="25" xfId="0" applyNumberFormat="1" applyFont="1" applyBorder="1" applyAlignment="1">
      <alignment horizontal="center" vertical="center"/>
    </xf>
    <xf numFmtId="165" fontId="0" fillId="0" borderId="32" xfId="0" applyNumberFormat="1" applyBorder="1" applyAlignment="1">
      <alignment horizontal="center"/>
    </xf>
    <xf numFmtId="171" fontId="49" fillId="0" borderId="17" xfId="0" applyNumberFormat="1" applyFont="1" applyBorder="1" applyAlignment="1">
      <alignment horizontal="center" vertical="center"/>
    </xf>
    <xf numFmtId="166" fontId="55" fillId="0" borderId="16" xfId="0" applyNumberFormat="1" applyFont="1" applyBorder="1" applyAlignment="1">
      <alignment horizontal="center" vertical="center"/>
    </xf>
    <xf numFmtId="172" fontId="49" fillId="0" borderId="15" xfId="0" applyNumberFormat="1" applyFont="1" applyBorder="1" applyAlignment="1">
      <alignment horizontal="center" vertical="center"/>
    </xf>
    <xf numFmtId="173" fontId="49" fillId="0" borderId="15" xfId="0" applyNumberFormat="1" applyFont="1" applyBorder="1" applyAlignment="1">
      <alignment horizontal="center" vertical="center"/>
    </xf>
    <xf numFmtId="175" fontId="49" fillId="0" borderId="17" xfId="0" applyNumberFormat="1" applyFont="1" applyBorder="1" applyAlignment="1">
      <alignment horizontal="center" vertical="center"/>
    </xf>
    <xf numFmtId="166" fontId="46" fillId="0" borderId="54" xfId="0" applyNumberFormat="1" applyFont="1" applyBorder="1" applyAlignment="1">
      <alignment horizontal="center" vertical="center"/>
    </xf>
    <xf numFmtId="166" fontId="46" fillId="0" borderId="46" xfId="0" applyNumberFormat="1" applyFont="1" applyBorder="1" applyAlignment="1">
      <alignment horizontal="center"/>
    </xf>
    <xf numFmtId="165" fontId="0" fillId="0" borderId="35" xfId="0" applyNumberFormat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165" fontId="49" fillId="0" borderId="12" xfId="0" applyNumberFormat="1" applyFont="1" applyBorder="1" applyAlignment="1">
      <alignment horizontal="center" vertical="center"/>
    </xf>
    <xf numFmtId="165" fontId="53" fillId="0" borderId="13" xfId="0" applyNumberFormat="1" applyFont="1" applyBorder="1" applyAlignment="1">
      <alignment horizontal="center" vertical="center"/>
    </xf>
    <xf numFmtId="165" fontId="46" fillId="0" borderId="12" xfId="0" applyNumberFormat="1" applyFont="1" applyBorder="1" applyAlignment="1">
      <alignment horizontal="center"/>
    </xf>
    <xf numFmtId="165" fontId="46" fillId="0" borderId="13" xfId="0" applyNumberFormat="1" applyFont="1" applyBorder="1" applyAlignment="1">
      <alignment horizontal="center"/>
    </xf>
    <xf numFmtId="165" fontId="46" fillId="0" borderId="14" xfId="0" applyNumberFormat="1" applyFont="1" applyBorder="1" applyAlignment="1">
      <alignment horizontal="center"/>
    </xf>
    <xf numFmtId="165" fontId="46" fillId="0" borderId="22" xfId="0" applyNumberFormat="1" applyFont="1" applyBorder="1" applyAlignment="1">
      <alignment horizontal="center"/>
    </xf>
    <xf numFmtId="165" fontId="49" fillId="0" borderId="24" xfId="0" applyNumberFormat="1" applyFont="1" applyBorder="1" applyAlignment="1">
      <alignment horizontal="center" vertical="center"/>
    </xf>
    <xf numFmtId="165" fontId="53" fillId="0" borderId="0" xfId="0" applyNumberFormat="1" applyFont="1" applyAlignment="1">
      <alignment horizontal="center" vertical="center"/>
    </xf>
    <xf numFmtId="165" fontId="53" fillId="0" borderId="32" xfId="0" applyNumberFormat="1" applyFont="1" applyBorder="1" applyAlignment="1">
      <alignment horizontal="center" vertical="center"/>
    </xf>
    <xf numFmtId="165" fontId="53" fillId="0" borderId="33" xfId="0" applyNumberFormat="1" applyFont="1" applyBorder="1" applyAlignment="1">
      <alignment horizontal="center" vertical="center"/>
    </xf>
    <xf numFmtId="165" fontId="46" fillId="0" borderId="24" xfId="0" applyNumberFormat="1" applyFont="1" applyBorder="1" applyAlignment="1">
      <alignment horizontal="center"/>
    </xf>
    <xf numFmtId="165" fontId="46" fillId="0" borderId="0" xfId="0" applyNumberFormat="1" applyFont="1" applyAlignment="1">
      <alignment horizontal="center"/>
    </xf>
    <xf numFmtId="165" fontId="46" fillId="0" borderId="25" xfId="0" applyNumberFormat="1" applyFont="1" applyBorder="1" applyAlignment="1">
      <alignment horizontal="center"/>
    </xf>
    <xf numFmtId="165" fontId="53" fillId="0" borderId="27" xfId="0" applyNumberFormat="1" applyFont="1" applyBorder="1" applyAlignment="1">
      <alignment horizontal="center" vertical="center"/>
    </xf>
    <xf numFmtId="165" fontId="46" fillId="0" borderId="27" xfId="0" applyNumberFormat="1" applyFont="1" applyBorder="1" applyAlignment="1">
      <alignment horizontal="center"/>
    </xf>
    <xf numFmtId="165" fontId="49" fillId="0" borderId="17" xfId="0" applyNumberFormat="1" applyFont="1" applyBorder="1" applyAlignment="1">
      <alignment horizontal="center" vertical="center"/>
    </xf>
    <xf numFmtId="165" fontId="53" fillId="0" borderId="15" xfId="0" applyNumberFormat="1" applyFont="1" applyBorder="1" applyAlignment="1">
      <alignment horizontal="center" vertical="center"/>
    </xf>
    <xf numFmtId="165" fontId="49" fillId="0" borderId="16" xfId="0" applyNumberFormat="1" applyFont="1" applyBorder="1" applyAlignment="1">
      <alignment horizontal="center" vertical="center"/>
    </xf>
    <xf numFmtId="165" fontId="46" fillId="0" borderId="17" xfId="0" applyNumberFormat="1" applyFont="1" applyBorder="1" applyAlignment="1">
      <alignment horizontal="center"/>
    </xf>
    <xf numFmtId="165" fontId="46" fillId="0" borderId="15" xfId="0" applyNumberFormat="1" applyFont="1" applyBorder="1" applyAlignment="1">
      <alignment horizontal="center"/>
    </xf>
    <xf numFmtId="165" fontId="46" fillId="0" borderId="16" xfId="0" applyNumberFormat="1" applyFont="1" applyBorder="1" applyAlignment="1">
      <alignment horizontal="center"/>
    </xf>
    <xf numFmtId="165" fontId="46" fillId="0" borderId="23" xfId="0" applyNumberFormat="1" applyFont="1" applyBorder="1" applyAlignment="1">
      <alignment horizontal="center"/>
    </xf>
    <xf numFmtId="165" fontId="56" fillId="0" borderId="30" xfId="0" applyNumberFormat="1" applyFont="1" applyBorder="1" applyAlignment="1">
      <alignment horizontal="center" vertical="center"/>
    </xf>
    <xf numFmtId="165" fontId="49" fillId="0" borderId="40" xfId="0" applyNumberFormat="1" applyFont="1" applyBorder="1" applyAlignment="1">
      <alignment horizontal="center" vertical="center"/>
    </xf>
    <xf numFmtId="166" fontId="49" fillId="0" borderId="33" xfId="0" applyNumberFormat="1" applyFont="1" applyBorder="1" applyAlignment="1">
      <alignment horizontal="center"/>
    </xf>
    <xf numFmtId="165" fontId="46" fillId="0" borderId="32" xfId="0" applyNumberFormat="1" applyFont="1" applyBorder="1" applyAlignment="1">
      <alignment horizontal="center" vertical="center"/>
    </xf>
    <xf numFmtId="165" fontId="49" fillId="0" borderId="32" xfId="0" applyNumberFormat="1" applyFont="1" applyBorder="1" applyAlignment="1">
      <alignment horizontal="center" vertical="center"/>
    </xf>
    <xf numFmtId="165" fontId="49" fillId="0" borderId="34" xfId="0" applyNumberFormat="1" applyFont="1" applyBorder="1" applyAlignment="1">
      <alignment horizontal="center" vertical="center"/>
    </xf>
    <xf numFmtId="166" fontId="49" fillId="0" borderId="19" xfId="0" applyNumberFormat="1" applyFont="1" applyBorder="1" applyAlignment="1">
      <alignment horizontal="center" vertical="center"/>
    </xf>
    <xf numFmtId="166" fontId="49" fillId="0" borderId="19" xfId="0" applyNumberFormat="1" applyFont="1" applyBorder="1" applyAlignment="1">
      <alignment horizontal="center"/>
    </xf>
    <xf numFmtId="166" fontId="49" fillId="0" borderId="35" xfId="0" applyNumberFormat="1" applyFont="1" applyBorder="1" applyAlignment="1">
      <alignment horizontal="center"/>
    </xf>
    <xf numFmtId="178" fontId="49" fillId="0" borderId="0" xfId="0" applyNumberFormat="1" applyFont="1" applyAlignment="1">
      <alignment horizontal="center" vertical="center"/>
    </xf>
    <xf numFmtId="166" fontId="49" fillId="0" borderId="0" xfId="421" applyNumberFormat="1" applyFont="1" applyAlignment="1">
      <alignment horizontal="center" vertical="center"/>
    </xf>
    <xf numFmtId="175" fontId="49" fillId="0" borderId="22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178" fontId="0" fillId="0" borderId="61" xfId="0" applyNumberFormat="1" applyBorder="1" applyAlignment="1">
      <alignment horizontal="center" vertical="center"/>
    </xf>
    <xf numFmtId="166" fontId="46" fillId="35" borderId="33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35" borderId="25" xfId="0" applyNumberFormat="1" applyFill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6" fontId="46" fillId="35" borderId="61" xfId="0" applyNumberFormat="1" applyFont="1" applyFill="1" applyBorder="1" applyAlignment="1">
      <alignment horizontal="center"/>
    </xf>
    <xf numFmtId="166" fontId="0" fillId="0" borderId="32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166" fontId="0" fillId="35" borderId="61" xfId="0" applyNumberFormat="1" applyFill="1" applyBorder="1" applyAlignment="1">
      <alignment horizontal="center"/>
    </xf>
    <xf numFmtId="166" fontId="0" fillId="0" borderId="37" xfId="0" applyNumberFormat="1" applyBorder="1" applyAlignment="1">
      <alignment horizontal="center"/>
    </xf>
    <xf numFmtId="175" fontId="49" fillId="0" borderId="27" xfId="0" applyNumberFormat="1" applyFont="1" applyBorder="1" applyAlignment="1">
      <alignment horizontal="center" vertical="center"/>
    </xf>
    <xf numFmtId="164" fontId="49" fillId="0" borderId="23" xfId="0" applyNumberFormat="1" applyFont="1" applyBorder="1" applyAlignment="1">
      <alignment horizontal="center" vertical="center"/>
    </xf>
    <xf numFmtId="171" fontId="49" fillId="0" borderId="15" xfId="0" applyNumberFormat="1" applyFont="1" applyBorder="1" applyAlignment="1">
      <alignment horizontal="center" vertical="center"/>
    </xf>
    <xf numFmtId="175" fontId="49" fillId="0" borderId="23" xfId="0" applyNumberFormat="1" applyFont="1" applyBorder="1" applyAlignment="1">
      <alignment horizontal="center" vertical="center"/>
    </xf>
    <xf numFmtId="165" fontId="0" fillId="0" borderId="48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35" borderId="16" xfId="0" applyNumberFormat="1" applyFill="1" applyBorder="1" applyAlignment="1">
      <alignment horizontal="center"/>
    </xf>
    <xf numFmtId="171" fontId="49" fillId="0" borderId="18" xfId="0" applyNumberFormat="1" applyFont="1" applyBorder="1" applyAlignment="1">
      <alignment horizontal="center" vertical="center"/>
    </xf>
    <xf numFmtId="178" fontId="49" fillId="0" borderId="18" xfId="0" applyNumberFormat="1" applyFont="1" applyBorder="1" applyAlignment="1">
      <alignment horizontal="center" vertical="center"/>
    </xf>
    <xf numFmtId="166" fontId="49" fillId="0" borderId="11" xfId="0" applyNumberFormat="1" applyFont="1" applyBorder="1" applyAlignment="1">
      <alignment horizontal="center" vertical="center"/>
    </xf>
    <xf numFmtId="175" fontId="49" fillId="0" borderId="26" xfId="0" applyNumberFormat="1" applyFont="1" applyBorder="1" applyAlignment="1">
      <alignment horizontal="center" vertical="center"/>
    </xf>
    <xf numFmtId="166" fontId="0" fillId="0" borderId="51" xfId="0" applyNumberFormat="1" applyBorder="1" applyAlignment="1">
      <alignment horizontal="center" vertical="center"/>
    </xf>
    <xf numFmtId="166" fontId="0" fillId="0" borderId="63" xfId="0" applyNumberFormat="1" applyBorder="1" applyAlignment="1">
      <alignment horizontal="center" vertical="center"/>
    </xf>
    <xf numFmtId="178" fontId="0" fillId="0" borderId="62" xfId="0" applyNumberFormat="1" applyBorder="1" applyAlignment="1">
      <alignment horizontal="center" vertical="center"/>
    </xf>
    <xf numFmtId="166" fontId="46" fillId="35" borderId="52" xfId="0" applyNumberFormat="1" applyFont="1" applyFill="1" applyBorder="1" applyAlignment="1">
      <alignment horizontal="center"/>
    </xf>
    <xf numFmtId="166" fontId="46" fillId="0" borderId="56" xfId="0" applyNumberFormat="1" applyFont="1" applyBorder="1" applyAlignment="1">
      <alignment horizontal="center"/>
    </xf>
    <xf numFmtId="166" fontId="46" fillId="35" borderId="62" xfId="0" applyNumberFormat="1" applyFont="1" applyFill="1" applyBorder="1" applyAlignment="1">
      <alignment horizontal="center"/>
    </xf>
    <xf numFmtId="166" fontId="0" fillId="0" borderId="50" xfId="0" applyNumberFormat="1" applyBorder="1" applyAlignment="1">
      <alignment horizontal="center" vertical="center"/>
    </xf>
    <xf numFmtId="171" fontId="0" fillId="0" borderId="51" xfId="0" applyNumberFormat="1" applyBorder="1" applyAlignment="1">
      <alignment horizontal="center" vertical="center"/>
    </xf>
    <xf numFmtId="166" fontId="0" fillId="0" borderId="52" xfId="0" applyNumberFormat="1" applyBorder="1" applyAlignment="1">
      <alignment horizontal="center" vertical="center"/>
    </xf>
    <xf numFmtId="166" fontId="0" fillId="35" borderId="62" xfId="0" applyNumberFormat="1" applyFill="1" applyBorder="1" applyAlignment="1">
      <alignment horizontal="center"/>
    </xf>
    <xf numFmtId="166" fontId="0" fillId="0" borderId="56" xfId="0" applyNumberFormat="1" applyBorder="1" applyAlignment="1">
      <alignment horizontal="center"/>
    </xf>
    <xf numFmtId="165" fontId="0" fillId="0" borderId="42" xfId="0" applyNumberFormat="1" applyBorder="1" applyAlignment="1">
      <alignment horizontal="center"/>
    </xf>
    <xf numFmtId="166" fontId="49" fillId="44" borderId="0" xfId="0" applyNumberFormat="1" applyFont="1" applyFill="1" applyAlignment="1">
      <alignment horizontal="center" vertical="center"/>
    </xf>
    <xf numFmtId="166" fontId="46" fillId="0" borderId="32" xfId="0" applyNumberFormat="1" applyFont="1" applyBorder="1" applyAlignment="1">
      <alignment horizontal="center"/>
    </xf>
    <xf numFmtId="166" fontId="46" fillId="0" borderId="0" xfId="0" applyNumberFormat="1" applyFont="1" applyAlignment="1">
      <alignment horizontal="center"/>
    </xf>
    <xf numFmtId="166" fontId="49" fillId="0" borderId="61" xfId="0" applyNumberFormat="1" applyFont="1" applyBorder="1" applyAlignment="1">
      <alignment horizontal="center" vertical="center"/>
    </xf>
    <xf numFmtId="166" fontId="0" fillId="35" borderId="13" xfId="0" applyNumberFormat="1" applyFill="1" applyBorder="1" applyAlignment="1">
      <alignment horizontal="center"/>
    </xf>
    <xf numFmtId="166" fontId="0" fillId="36" borderId="13" xfId="0" applyNumberFormat="1" applyFill="1" applyBorder="1" applyAlignment="1">
      <alignment horizontal="center"/>
    </xf>
    <xf numFmtId="166" fontId="0" fillId="36" borderId="33" xfId="0" applyNumberFormat="1" applyFill="1" applyBorder="1" applyAlignment="1">
      <alignment horizontal="center"/>
    </xf>
    <xf numFmtId="166" fontId="0" fillId="36" borderId="0" xfId="0" applyNumberFormat="1" applyFill="1" applyAlignment="1">
      <alignment horizontal="center"/>
    </xf>
    <xf numFmtId="166" fontId="49" fillId="44" borderId="15" xfId="0" applyNumberFormat="1" applyFont="1" applyFill="1" applyBorder="1" applyAlignment="1">
      <alignment horizontal="center" vertical="center"/>
    </xf>
    <xf numFmtId="166" fontId="46" fillId="0" borderId="48" xfId="0" applyNumberFormat="1" applyFont="1" applyBorder="1" applyAlignment="1">
      <alignment horizontal="center"/>
    </xf>
    <xf numFmtId="166" fontId="46" fillId="0" borderId="15" xfId="0" applyNumberFormat="1" applyFont="1" applyBorder="1" applyAlignment="1">
      <alignment horizontal="center"/>
    </xf>
    <xf numFmtId="166" fontId="0" fillId="35" borderId="15" xfId="0" applyNumberFormat="1" applyFill="1" applyBorder="1" applyAlignment="1">
      <alignment horizontal="center"/>
    </xf>
    <xf numFmtId="166" fontId="0" fillId="36" borderId="15" xfId="0" applyNumberFormat="1" applyFill="1" applyBorder="1" applyAlignment="1">
      <alignment horizontal="center"/>
    </xf>
    <xf numFmtId="166" fontId="0" fillId="36" borderId="42" xfId="0" applyNumberFormat="1" applyFill="1" applyBorder="1" applyAlignment="1">
      <alignment horizontal="center"/>
    </xf>
    <xf numFmtId="166" fontId="46" fillId="0" borderId="50" xfId="0" applyNumberFormat="1" applyFont="1" applyBorder="1" applyAlignment="1">
      <alignment horizontal="center"/>
    </xf>
    <xf numFmtId="166" fontId="46" fillId="0" borderId="51" xfId="0" applyNumberFormat="1" applyFont="1" applyBorder="1" applyAlignment="1">
      <alignment horizontal="center"/>
    </xf>
    <xf numFmtId="166" fontId="46" fillId="0" borderId="63" xfId="0" applyNumberFormat="1" applyFont="1" applyBorder="1" applyAlignment="1">
      <alignment horizontal="center"/>
    </xf>
    <xf numFmtId="166" fontId="49" fillId="0" borderId="62" xfId="0" applyNumberFormat="1" applyFont="1" applyBorder="1" applyAlignment="1">
      <alignment horizontal="center" vertical="center"/>
    </xf>
    <xf numFmtId="166" fontId="0" fillId="35" borderId="19" xfId="0" applyNumberFormat="1" applyFill="1" applyBorder="1" applyAlignment="1">
      <alignment horizontal="center"/>
    </xf>
    <xf numFmtId="164" fontId="49" fillId="0" borderId="14" xfId="0" applyNumberFormat="1" applyFont="1" applyBorder="1" applyAlignment="1">
      <alignment horizontal="center" vertical="center"/>
    </xf>
    <xf numFmtId="166" fontId="49" fillId="35" borderId="14" xfId="0" applyNumberFormat="1" applyFont="1" applyFill="1" applyBorder="1" applyAlignment="1">
      <alignment horizontal="center" vertical="center"/>
    </xf>
    <xf numFmtId="164" fontId="49" fillId="0" borderId="16" xfId="0" applyNumberFormat="1" applyFont="1" applyBorder="1" applyAlignment="1">
      <alignment horizontal="center" vertical="center"/>
    </xf>
    <xf numFmtId="165" fontId="49" fillId="0" borderId="27" xfId="0" applyNumberFormat="1" applyFont="1" applyBorder="1" applyAlignment="1">
      <alignment horizontal="center" vertical="center"/>
    </xf>
    <xf numFmtId="166" fontId="49" fillId="35" borderId="15" xfId="0" applyNumberFormat="1" applyFont="1" applyFill="1" applyBorder="1" applyAlignment="1">
      <alignment horizontal="center" vertical="center"/>
    </xf>
    <xf numFmtId="172" fontId="49" fillId="0" borderId="16" xfId="0" applyNumberFormat="1" applyFont="1" applyBorder="1" applyAlignment="1">
      <alignment horizontal="center" vertical="center"/>
    </xf>
    <xf numFmtId="164" fontId="46" fillId="0" borderId="24" xfId="0" applyNumberFormat="1" applyFont="1" applyBorder="1" applyAlignment="1">
      <alignment horizontal="center" vertical="center"/>
    </xf>
    <xf numFmtId="166" fontId="49" fillId="0" borderId="12" xfId="0" applyNumberFormat="1" applyFont="1" applyBorder="1" applyAlignment="1">
      <alignment horizontal="center"/>
    </xf>
    <xf numFmtId="172" fontId="49" fillId="0" borderId="14" xfId="0" applyNumberFormat="1" applyFont="1" applyBorder="1" applyAlignment="1">
      <alignment horizontal="center"/>
    </xf>
    <xf numFmtId="166" fontId="49" fillId="0" borderId="22" xfId="0" applyNumberFormat="1" applyFont="1" applyBorder="1" applyAlignment="1">
      <alignment horizontal="center"/>
    </xf>
    <xf numFmtId="172" fontId="49" fillId="0" borderId="10" xfId="0" applyNumberFormat="1" applyFont="1" applyBorder="1" applyAlignment="1">
      <alignment horizontal="center" vertical="center"/>
    </xf>
    <xf numFmtId="165" fontId="49" fillId="0" borderId="23" xfId="0" applyNumberFormat="1" applyFont="1" applyBorder="1" applyAlignment="1">
      <alignment horizontal="center" vertical="center"/>
    </xf>
    <xf numFmtId="166" fontId="49" fillId="0" borderId="24" xfId="0" applyNumberFormat="1" applyFont="1" applyBorder="1" applyAlignment="1">
      <alignment horizontal="center"/>
    </xf>
    <xf numFmtId="172" fontId="49" fillId="0" borderId="25" xfId="0" applyNumberFormat="1" applyFont="1" applyBorder="1" applyAlignment="1">
      <alignment horizontal="center"/>
    </xf>
    <xf numFmtId="166" fontId="49" fillId="0" borderId="27" xfId="0" applyNumberFormat="1" applyFont="1" applyBorder="1" applyAlignment="1">
      <alignment horizontal="center"/>
    </xf>
    <xf numFmtId="165" fontId="49" fillId="0" borderId="17" xfId="0" applyNumberFormat="1" applyFont="1" applyBorder="1" applyAlignment="1">
      <alignment horizontal="center"/>
    </xf>
    <xf numFmtId="165" fontId="49" fillId="0" borderId="15" xfId="0" applyNumberFormat="1" applyFont="1" applyBorder="1" applyAlignment="1">
      <alignment horizontal="center"/>
    </xf>
    <xf numFmtId="166" fontId="47" fillId="43" borderId="22" xfId="0" applyNumberFormat="1" applyFont="1" applyFill="1" applyBorder="1" applyAlignment="1">
      <alignment horizontal="center"/>
    </xf>
    <xf numFmtId="165" fontId="56" fillId="0" borderId="14" xfId="0" applyNumberFormat="1" applyFont="1" applyBorder="1" applyAlignment="1">
      <alignment horizontal="center"/>
    </xf>
    <xf numFmtId="166" fontId="49" fillId="35" borderId="12" xfId="0" applyNumberFormat="1" applyFont="1" applyFill="1" applyBorder="1" applyAlignment="1">
      <alignment horizontal="center" vertical="center"/>
    </xf>
    <xf numFmtId="166" fontId="49" fillId="35" borderId="13" xfId="0" applyNumberFormat="1" applyFont="1" applyFill="1" applyBorder="1" applyAlignment="1">
      <alignment horizontal="center" vertical="center"/>
    </xf>
    <xf numFmtId="164" fontId="46" fillId="0" borderId="17" xfId="0" applyNumberFormat="1" applyFont="1" applyBorder="1" applyAlignment="1">
      <alignment horizontal="center" vertical="center"/>
    </xf>
    <xf numFmtId="166" fontId="49" fillId="0" borderId="17" xfId="0" applyNumberFormat="1" applyFont="1" applyBorder="1" applyAlignment="1">
      <alignment horizontal="center"/>
    </xf>
    <xf numFmtId="172" fontId="49" fillId="0" borderId="16" xfId="0" applyNumberFormat="1" applyFont="1" applyBorder="1" applyAlignment="1">
      <alignment horizontal="center"/>
    </xf>
    <xf numFmtId="166" fontId="49" fillId="0" borderId="23" xfId="0" applyNumberFormat="1" applyFont="1" applyBorder="1" applyAlignment="1">
      <alignment horizontal="center"/>
    </xf>
    <xf numFmtId="166" fontId="47" fillId="43" borderId="27" xfId="0" applyNumberFormat="1" applyFont="1" applyFill="1" applyBorder="1" applyAlignment="1">
      <alignment horizontal="center"/>
    </xf>
    <xf numFmtId="166" fontId="49" fillId="35" borderId="17" xfId="0" applyNumberFormat="1" applyFont="1" applyFill="1" applyBorder="1" applyAlignment="1">
      <alignment horizontal="center" vertical="center"/>
    </xf>
    <xf numFmtId="166" fontId="49" fillId="35" borderId="16" xfId="0" applyNumberFormat="1" applyFont="1" applyFill="1" applyBorder="1" applyAlignment="1">
      <alignment horizontal="center" vertical="center"/>
    </xf>
    <xf numFmtId="166" fontId="47" fillId="43" borderId="23" xfId="0" applyNumberFormat="1" applyFont="1" applyFill="1" applyBorder="1" applyAlignment="1">
      <alignment horizontal="center"/>
    </xf>
    <xf numFmtId="165" fontId="56" fillId="0" borderId="25" xfId="0" applyNumberFormat="1" applyFont="1" applyBorder="1" applyAlignment="1">
      <alignment horizontal="center"/>
    </xf>
    <xf numFmtId="164" fontId="49" fillId="0" borderId="25" xfId="0" applyNumberFormat="1" applyFont="1" applyBorder="1" applyAlignment="1">
      <alignment horizontal="center" vertical="center"/>
    </xf>
    <xf numFmtId="166" fontId="46" fillId="0" borderId="0" xfId="0" applyNumberFormat="1" applyFont="1" applyAlignment="1">
      <alignment horizontal="center" vertical="center"/>
    </xf>
    <xf numFmtId="166" fontId="71" fillId="0" borderId="30" xfId="0" applyNumberFormat="1" applyFont="1" applyBorder="1" applyAlignment="1">
      <alignment horizontal="center" vertical="center"/>
    </xf>
    <xf numFmtId="166" fontId="71" fillId="0" borderId="31" xfId="0" applyNumberFormat="1" applyFont="1" applyBorder="1" applyAlignment="1">
      <alignment horizontal="center" vertical="center"/>
    </xf>
    <xf numFmtId="166" fontId="49" fillId="0" borderId="12" xfId="0" applyNumberFormat="1" applyFont="1" applyBorder="1" applyAlignment="1">
      <alignment horizontal="center" vertical="center"/>
    </xf>
    <xf numFmtId="166" fontId="53" fillId="0" borderId="25" xfId="421" applyNumberFormat="1" applyFont="1" applyBorder="1" applyAlignment="1">
      <alignment horizontal="center" vertical="center"/>
    </xf>
    <xf numFmtId="165" fontId="55" fillId="0" borderId="13" xfId="0" applyNumberFormat="1" applyFont="1" applyBorder="1" applyAlignment="1">
      <alignment horizontal="center" vertical="center"/>
    </xf>
    <xf numFmtId="165" fontId="49" fillId="0" borderId="22" xfId="0" applyNumberFormat="1" applyFont="1" applyBorder="1" applyAlignment="1">
      <alignment horizontal="center" vertical="center"/>
    </xf>
    <xf numFmtId="165" fontId="55" fillId="0" borderId="15" xfId="0" applyNumberFormat="1" applyFont="1" applyBorder="1" applyAlignment="1">
      <alignment horizontal="center" vertical="center"/>
    </xf>
    <xf numFmtId="165" fontId="76" fillId="45" borderId="69" xfId="0" applyNumberFormat="1" applyFont="1" applyFill="1" applyBorder="1" applyAlignment="1">
      <alignment horizontal="center" vertical="center"/>
    </xf>
    <xf numFmtId="165" fontId="77" fillId="45" borderId="71" xfId="0" applyNumberFormat="1" applyFont="1" applyFill="1" applyBorder="1" applyAlignment="1">
      <alignment horizontal="center" vertical="center"/>
    </xf>
    <xf numFmtId="165" fontId="78" fillId="45" borderId="70" xfId="0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horizontal="center"/>
    </xf>
    <xf numFmtId="166" fontId="0" fillId="62" borderId="0" xfId="0" applyNumberFormat="1" applyFill="1" applyAlignment="1">
      <alignment horizontal="center"/>
    </xf>
    <xf numFmtId="166" fontId="0" fillId="63" borderId="0" xfId="0" applyNumberFormat="1" applyFill="1" applyAlignment="1">
      <alignment horizontal="center"/>
    </xf>
    <xf numFmtId="165" fontId="0" fillId="35" borderId="0" xfId="0" applyNumberFormat="1" applyFill="1" applyAlignment="1">
      <alignment horizontal="center"/>
    </xf>
    <xf numFmtId="166" fontId="0" fillId="60" borderId="0" xfId="0" applyNumberFormat="1" applyFill="1" applyAlignment="1">
      <alignment horizontal="center"/>
    </xf>
    <xf numFmtId="166" fontId="69" fillId="0" borderId="0" xfId="0" applyNumberFormat="1" applyFont="1" applyAlignment="1">
      <alignment horizontal="center"/>
    </xf>
    <xf numFmtId="166" fontId="0" fillId="61" borderId="0" xfId="0" applyNumberFormat="1" applyFill="1" applyAlignment="1">
      <alignment horizontal="center"/>
    </xf>
    <xf numFmtId="165" fontId="0" fillId="63" borderId="0" xfId="0" applyNumberFormat="1" applyFill="1" applyAlignment="1">
      <alignment horizontal="center"/>
    </xf>
    <xf numFmtId="0" fontId="82" fillId="64" borderId="0" xfId="0" applyFont="1" applyFill="1" applyAlignment="1">
      <alignment vertical="center"/>
    </xf>
    <xf numFmtId="0" fontId="42" fillId="0" borderId="26" xfId="0" applyFont="1" applyBorder="1" applyAlignment="1">
      <alignment horizontal="center" vertical="center"/>
    </xf>
    <xf numFmtId="0" fontId="0" fillId="64" borderId="0" xfId="0" applyFill="1"/>
    <xf numFmtId="0" fontId="42" fillId="64" borderId="26" xfId="0" applyFont="1" applyFill="1" applyBorder="1" applyAlignment="1">
      <alignment horizontal="left" vertical="center"/>
    </xf>
    <xf numFmtId="0" fontId="42" fillId="64" borderId="18" xfId="0" applyFont="1" applyFill="1" applyBorder="1"/>
    <xf numFmtId="0" fontId="42" fillId="64" borderId="10" xfId="0" applyFont="1" applyFill="1" applyBorder="1"/>
    <xf numFmtId="0" fontId="83" fillId="68" borderId="26" xfId="0" applyFont="1" applyFill="1" applyBorder="1" applyAlignment="1">
      <alignment horizontal="left" vertical="center"/>
    </xf>
    <xf numFmtId="0" fontId="0" fillId="0" borderId="18" xfId="0" applyBorder="1"/>
    <xf numFmtId="0" fontId="0" fillId="0" borderId="10" xfId="0" applyBorder="1"/>
    <xf numFmtId="0" fontId="17" fillId="35" borderId="91" xfId="0" applyFont="1" applyFill="1" applyBorder="1" applyAlignment="1">
      <alignment horizontal="center" vertical="center"/>
    </xf>
    <xf numFmtId="0" fontId="0" fillId="0" borderId="92" xfId="0" applyBorder="1"/>
    <xf numFmtId="0" fontId="42" fillId="57" borderId="26" xfId="0" applyFont="1" applyFill="1" applyBorder="1" applyAlignment="1">
      <alignment horizontal="left" vertical="center"/>
    </xf>
    <xf numFmtId="0" fontId="42" fillId="64" borderId="0" xfId="0" applyFont="1" applyFill="1" applyAlignment="1">
      <alignment horizontal="left" vertical="center"/>
    </xf>
    <xf numFmtId="0" fontId="0" fillId="64" borderId="0" xfId="0" applyFill="1"/>
    <xf numFmtId="0" fontId="42" fillId="70" borderId="26" xfId="0" applyFont="1" applyFill="1" applyBorder="1" applyAlignment="1">
      <alignment horizontal="left" vertical="center"/>
    </xf>
    <xf numFmtId="0" fontId="0" fillId="69" borderId="26" xfId="0" applyFill="1" applyBorder="1" applyAlignment="1">
      <alignment horizontal="left" vertical="center"/>
    </xf>
    <xf numFmtId="0" fontId="17" fillId="65" borderId="26" xfId="0" applyFont="1" applyFill="1" applyBorder="1" applyAlignment="1">
      <alignment horizontal="left" vertical="center"/>
    </xf>
    <xf numFmtId="0" fontId="83" fillId="66" borderId="26" xfId="0" applyFont="1" applyFill="1" applyBorder="1" applyAlignment="1">
      <alignment horizontal="left" vertical="center"/>
    </xf>
    <xf numFmtId="0" fontId="0" fillId="70" borderId="26" xfId="0" applyFill="1" applyBorder="1" applyAlignment="1">
      <alignment horizontal="left" vertical="center"/>
    </xf>
    <xf numFmtId="0" fontId="42" fillId="64" borderId="11" xfId="0" applyFont="1" applyFill="1" applyBorder="1" applyAlignment="1">
      <alignment horizontal="left" vertical="center"/>
    </xf>
    <xf numFmtId="0" fontId="42" fillId="64" borderId="18" xfId="0" applyFont="1" applyFill="1" applyBorder="1" applyAlignment="1">
      <alignment horizontal="left" vertical="center"/>
    </xf>
    <xf numFmtId="0" fontId="42" fillId="64" borderId="10" xfId="0" applyFont="1" applyFill="1" applyBorder="1" applyAlignment="1">
      <alignment horizontal="left" vertical="center"/>
    </xf>
    <xf numFmtId="0" fontId="42" fillId="66" borderId="18" xfId="0" applyFont="1" applyFill="1" applyBorder="1"/>
    <xf numFmtId="0" fontId="42" fillId="66" borderId="10" xfId="0" applyFont="1" applyFill="1" applyBorder="1"/>
    <xf numFmtId="0" fontId="42" fillId="69" borderId="26" xfId="0" applyFont="1" applyFill="1" applyBorder="1" applyAlignment="1">
      <alignment horizontal="left" vertical="center"/>
    </xf>
    <xf numFmtId="0" fontId="0" fillId="65" borderId="26" xfId="0" applyFill="1" applyBorder="1" applyAlignment="1">
      <alignment horizontal="center" vertical="center"/>
    </xf>
    <xf numFmtId="0" fontId="0" fillId="65" borderId="26" xfId="0" applyFill="1" applyBorder="1" applyAlignment="1">
      <alignment horizontal="left" vertical="center"/>
    </xf>
    <xf numFmtId="0" fontId="46" fillId="0" borderId="26" xfId="0" quotePrefix="1" applyFont="1" applyBorder="1" applyAlignment="1">
      <alignment horizontal="left" vertical="top" wrapText="1"/>
    </xf>
    <xf numFmtId="0" fontId="0" fillId="0" borderId="13" xfId="0" applyBorder="1"/>
    <xf numFmtId="0" fontId="0" fillId="0" borderId="14" xfId="0" applyBorder="1"/>
    <xf numFmtId="0" fontId="0" fillId="0" borderId="24" xfId="0" applyBorder="1"/>
    <xf numFmtId="0" fontId="0" fillId="64" borderId="0" xfId="0" applyFill="1" applyAlignment="1">
      <alignment vertical="center"/>
    </xf>
    <xf numFmtId="0" fontId="0" fillId="0" borderId="25" xfId="0" applyBorder="1"/>
    <xf numFmtId="0" fontId="0" fillId="0" borderId="17" xfId="0" applyBorder="1"/>
    <xf numFmtId="0" fontId="0" fillId="0" borderId="15" xfId="0" applyBorder="1"/>
    <xf numFmtId="0" fontId="0" fillId="0" borderId="16" xfId="0" applyBorder="1"/>
    <xf numFmtId="0" fontId="42" fillId="64" borderId="0" xfId="0" applyFont="1" applyFill="1"/>
    <xf numFmtId="0" fontId="83" fillId="64" borderId="0" xfId="0" applyFont="1" applyFill="1" applyAlignment="1">
      <alignment horizontal="left" vertical="center"/>
    </xf>
    <xf numFmtId="165" fontId="83" fillId="64" borderId="0" xfId="437" applyNumberFormat="1" applyFont="1" applyFill="1" applyAlignment="1">
      <alignment horizontal="center" vertical="center"/>
    </xf>
    <xf numFmtId="0" fontId="42" fillId="64" borderId="11" xfId="0" applyFont="1" applyFill="1" applyBorder="1" applyAlignment="1">
      <alignment horizontal="left"/>
    </xf>
    <xf numFmtId="0" fontId="42" fillId="64" borderId="18" xfId="0" applyFont="1" applyFill="1" applyBorder="1" applyAlignment="1">
      <alignment horizontal="left"/>
    </xf>
    <xf numFmtId="0" fontId="42" fillId="64" borderId="10" xfId="0" applyFont="1" applyFill="1" applyBorder="1" applyAlignment="1">
      <alignment horizontal="left"/>
    </xf>
    <xf numFmtId="0" fontId="17" fillId="67" borderId="11" xfId="0" applyFont="1" applyFill="1" applyBorder="1" applyAlignment="1">
      <alignment horizontal="left" vertical="center"/>
    </xf>
    <xf numFmtId="0" fontId="42" fillId="0" borderId="26" xfId="0" applyFont="1" applyBorder="1" applyAlignment="1">
      <alignment horizontal="left" vertical="center"/>
    </xf>
    <xf numFmtId="0" fontId="42" fillId="0" borderId="18" xfId="0" applyFont="1" applyBorder="1"/>
    <xf numFmtId="0" fontId="42" fillId="0" borderId="10" xfId="0" applyFont="1" applyBorder="1"/>
    <xf numFmtId="0" fontId="0" fillId="71" borderId="26" xfId="0" applyFill="1" applyBorder="1" applyAlignment="1">
      <alignment horizontal="left" vertical="center"/>
    </xf>
    <xf numFmtId="9" fontId="42" fillId="64" borderId="0" xfId="0" applyNumberFormat="1" applyFont="1" applyFill="1" applyAlignment="1">
      <alignment horizontal="left" vertical="center"/>
    </xf>
    <xf numFmtId="0" fontId="14" fillId="54" borderId="26" xfId="0" applyFont="1" applyFill="1" applyBorder="1" applyAlignment="1">
      <alignment horizontal="left" vertical="center"/>
    </xf>
    <xf numFmtId="0" fontId="42" fillId="47" borderId="26" xfId="0" applyFont="1" applyFill="1" applyBorder="1" applyAlignment="1">
      <alignment horizontal="left" vertical="center"/>
    </xf>
    <xf numFmtId="0" fontId="0" fillId="47" borderId="26" xfId="0" applyFill="1" applyBorder="1" applyAlignment="1">
      <alignment horizontal="left" vertical="center"/>
    </xf>
    <xf numFmtId="0" fontId="49" fillId="0" borderId="25" xfId="0" applyFont="1" applyBorder="1" applyAlignment="1">
      <alignment horizontal="left"/>
    </xf>
    <xf numFmtId="3" fontId="49" fillId="0" borderId="0" xfId="0" applyNumberFormat="1" applyFont="1" applyAlignment="1">
      <alignment horizontal="right" vertical="center"/>
    </xf>
    <xf numFmtId="0" fontId="0" fillId="0" borderId="0" xfId="0"/>
    <xf numFmtId="3" fontId="47" fillId="0" borderId="15" xfId="0" applyNumberFormat="1" applyFont="1" applyBorder="1" applyAlignment="1">
      <alignment horizontal="right" vertical="center"/>
    </xf>
    <xf numFmtId="0" fontId="49" fillId="0" borderId="14" xfId="0" applyFont="1" applyBorder="1" applyAlignment="1">
      <alignment horizontal="left"/>
    </xf>
    <xf numFmtId="3" fontId="47" fillId="0" borderId="0" xfId="0" applyNumberFormat="1" applyFont="1" applyAlignment="1">
      <alignment horizontal="right" vertical="center"/>
    </xf>
    <xf numFmtId="37" fontId="0" fillId="35" borderId="0" xfId="437" applyNumberFormat="1" applyFont="1" applyFill="1" applyAlignment="1">
      <alignment horizontal="center"/>
    </xf>
    <xf numFmtId="3" fontId="49" fillId="0" borderId="16" xfId="0" applyNumberFormat="1" applyFont="1" applyBorder="1" applyAlignment="1">
      <alignment horizontal="center" vertical="center"/>
    </xf>
    <xf numFmtId="3" fontId="49" fillId="0" borderId="14" xfId="0" applyNumberFormat="1" applyFont="1" applyBorder="1" applyAlignment="1">
      <alignment horizontal="center"/>
    </xf>
    <xf numFmtId="166" fontId="49" fillId="0" borderId="25" xfId="0" applyNumberFormat="1" applyFont="1" applyBorder="1" applyAlignment="1">
      <alignment horizontal="center"/>
    </xf>
    <xf numFmtId="0" fontId="49" fillId="0" borderId="14" xfId="0" applyFont="1" applyBorder="1" applyAlignment="1">
      <alignment horizontal="center" vertical="center"/>
    </xf>
    <xf numFmtId="3" fontId="0" fillId="35" borderId="19" xfId="0" applyNumberFormat="1" applyFill="1" applyBorder="1" applyAlignment="1">
      <alignment horizontal="center"/>
    </xf>
    <xf numFmtId="0" fontId="0" fillId="0" borderId="19" xfId="0" applyBorder="1"/>
    <xf numFmtId="0" fontId="49" fillId="0" borderId="25" xfId="0" applyFont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3" fontId="49" fillId="0" borderId="16" xfId="0" applyNumberFormat="1" applyFont="1" applyBorder="1" applyAlignment="1">
      <alignment horizontal="center"/>
    </xf>
    <xf numFmtId="3" fontId="0" fillId="35" borderId="33" xfId="0" applyNumberFormat="1" applyFill="1" applyBorder="1" applyAlignment="1">
      <alignment horizontal="center"/>
    </xf>
    <xf numFmtId="0" fontId="0" fillId="0" borderId="33" xfId="0" applyBorder="1"/>
    <xf numFmtId="0" fontId="49" fillId="0" borderId="16" xfId="0" applyFont="1" applyBorder="1" applyAlignment="1">
      <alignment horizontal="center" vertical="center"/>
    </xf>
    <xf numFmtId="166" fontId="49" fillId="0" borderId="14" xfId="0" applyNumberFormat="1" applyFont="1" applyBorder="1" applyAlignment="1">
      <alignment horizontal="center"/>
    </xf>
    <xf numFmtId="167" fontId="49" fillId="0" borderId="25" xfId="421" applyNumberFormat="1" applyFont="1" applyBorder="1" applyAlignment="1">
      <alignment horizontal="center"/>
    </xf>
    <xf numFmtId="3" fontId="49" fillId="0" borderId="25" xfId="0" applyNumberFormat="1" applyFont="1" applyBorder="1" applyAlignment="1">
      <alignment horizontal="center" vertical="center"/>
    </xf>
    <xf numFmtId="1" fontId="49" fillId="0" borderId="25" xfId="0" applyNumberFormat="1" applyFont="1" applyBorder="1" applyAlignment="1">
      <alignment horizontal="center" vertical="center"/>
    </xf>
    <xf numFmtId="166" fontId="49" fillId="0" borderId="25" xfId="0" applyNumberFormat="1" applyFont="1" applyBorder="1" applyAlignment="1">
      <alignment horizontal="center" vertical="center"/>
    </xf>
    <xf numFmtId="0" fontId="46" fillId="0" borderId="16" xfId="0" applyFont="1" applyBorder="1" applyAlignment="1">
      <alignment horizontal="left"/>
    </xf>
    <xf numFmtId="165" fontId="49" fillId="0" borderId="16" xfId="0" applyNumberFormat="1" applyFont="1" applyBorder="1" applyAlignment="1">
      <alignment horizontal="center" vertical="center"/>
    </xf>
    <xf numFmtId="0" fontId="49" fillId="35" borderId="26" xfId="0" applyFont="1" applyFill="1" applyBorder="1" applyAlignment="1">
      <alignment horizontal="center"/>
    </xf>
    <xf numFmtId="0" fontId="80" fillId="54" borderId="68" xfId="0" applyFont="1" applyFill="1" applyBorder="1" applyAlignment="1">
      <alignment horizontal="center" vertical="center" wrapText="1"/>
    </xf>
    <xf numFmtId="0" fontId="0" fillId="0" borderId="71" xfId="0" applyBorder="1"/>
    <xf numFmtId="0" fontId="0" fillId="0" borderId="70" xfId="0" applyBorder="1"/>
    <xf numFmtId="0" fontId="81" fillId="55" borderId="68" xfId="0" applyFont="1" applyFill="1" applyBorder="1" applyAlignment="1">
      <alignment horizontal="center" vertical="center" wrapText="1"/>
    </xf>
    <xf numFmtId="0" fontId="81" fillId="56" borderId="68" xfId="0" applyFont="1" applyFill="1" applyBorder="1" applyAlignment="1">
      <alignment horizontal="center" vertical="center" wrapText="1"/>
    </xf>
  </cellXfs>
  <cellStyles count="715">
    <cellStyle name="_x000a_386grabber=M" xfId="633" xr:uid="{00000000-0005-0000-0000-000079020000}"/>
    <cellStyle name="******************************************" xfId="634" xr:uid="{00000000-0005-0000-0000-00007A020000}"/>
    <cellStyle name="=C:\WINNT35\SYSTEM32\COMMAND.COM" xfId="635" xr:uid="{00000000-0005-0000-0000-00007B020000}"/>
    <cellStyle name="20% - Accent1 2" xfId="109" xr:uid="{00000000-0005-0000-0000-00006D000000}"/>
    <cellStyle name="20% - Accent1 2 2" xfId="446" xr:uid="{00000000-0005-0000-0000-0000BE010000}"/>
    <cellStyle name="20% - Accent1 2 3" xfId="670" xr:uid="{00000000-0005-0000-0000-00009E020000}"/>
    <cellStyle name="20% - Accent1 2 4" xfId="445" xr:uid="{00000000-0005-0000-0000-0000BD010000}"/>
    <cellStyle name="20% - Accent1 3" xfId="447" xr:uid="{00000000-0005-0000-0000-0000BF010000}"/>
    <cellStyle name="20% - Accent1 3 2" xfId="448" xr:uid="{00000000-0005-0000-0000-0000C0010000}"/>
    <cellStyle name="20% - Accent1 4" xfId="449" xr:uid="{00000000-0005-0000-0000-0000C1010000}"/>
    <cellStyle name="20% - Accent1 5" xfId="450" xr:uid="{00000000-0005-0000-0000-0000C2010000}"/>
    <cellStyle name="20% - Accent1 5 2" xfId="451" xr:uid="{00000000-0005-0000-0000-0000C3010000}"/>
    <cellStyle name="20% - Accent1 5_Cover" xfId="452" xr:uid="{00000000-0005-0000-0000-0000C4010000}"/>
    <cellStyle name="20% - Accent1 6" xfId="643" xr:uid="{00000000-0005-0000-0000-000083020000}"/>
    <cellStyle name="20% - Accent2 2" xfId="110" xr:uid="{00000000-0005-0000-0000-00006E000000}"/>
    <cellStyle name="20% - Accent2 2 2" xfId="454" xr:uid="{00000000-0005-0000-0000-0000C6010000}"/>
    <cellStyle name="20% - Accent2 2 3" xfId="671" xr:uid="{00000000-0005-0000-0000-00009F020000}"/>
    <cellStyle name="20% - Accent2 2 4" xfId="453" xr:uid="{00000000-0005-0000-0000-0000C5010000}"/>
    <cellStyle name="20% - Accent2 3" xfId="455" xr:uid="{00000000-0005-0000-0000-0000C7010000}"/>
    <cellStyle name="20% - Accent2 3 2" xfId="456" xr:uid="{00000000-0005-0000-0000-0000C8010000}"/>
    <cellStyle name="20% - Accent2 4" xfId="457" xr:uid="{00000000-0005-0000-0000-0000C9010000}"/>
    <cellStyle name="20% - Accent2 5" xfId="458" xr:uid="{00000000-0005-0000-0000-0000CA010000}"/>
    <cellStyle name="20% - Accent2 5 2" xfId="459" xr:uid="{00000000-0005-0000-0000-0000CB010000}"/>
    <cellStyle name="20% - Accent2 5_Cover" xfId="460" xr:uid="{00000000-0005-0000-0000-0000CC010000}"/>
    <cellStyle name="20% - Accent2 6" xfId="645" xr:uid="{00000000-0005-0000-0000-000085020000}"/>
    <cellStyle name="20% - Accent3 2" xfId="111" xr:uid="{00000000-0005-0000-0000-00006F000000}"/>
    <cellStyle name="20% - Accent3 2 2" xfId="462" xr:uid="{00000000-0005-0000-0000-0000CE010000}"/>
    <cellStyle name="20% - Accent3 2 3" xfId="672" xr:uid="{00000000-0005-0000-0000-0000A0020000}"/>
    <cellStyle name="20% - Accent3 2 4" xfId="461" xr:uid="{00000000-0005-0000-0000-0000CD010000}"/>
    <cellStyle name="20% - Accent3 3" xfId="463" xr:uid="{00000000-0005-0000-0000-0000CF010000}"/>
    <cellStyle name="20% - Accent3 3 2" xfId="464" xr:uid="{00000000-0005-0000-0000-0000D0010000}"/>
    <cellStyle name="20% - Accent3 4" xfId="465" xr:uid="{00000000-0005-0000-0000-0000D1010000}"/>
    <cellStyle name="20% - Accent3 5" xfId="466" xr:uid="{00000000-0005-0000-0000-0000D2010000}"/>
    <cellStyle name="20% - Accent3 5 2" xfId="467" xr:uid="{00000000-0005-0000-0000-0000D3010000}"/>
    <cellStyle name="20% - Accent3 5_Cover" xfId="468" xr:uid="{00000000-0005-0000-0000-0000D4010000}"/>
    <cellStyle name="20% - Accent3 6" xfId="647" xr:uid="{00000000-0005-0000-0000-000087020000}"/>
    <cellStyle name="20% - Accent4 2" xfId="112" xr:uid="{00000000-0005-0000-0000-000070000000}"/>
    <cellStyle name="20% - Accent4 2 2" xfId="470" xr:uid="{00000000-0005-0000-0000-0000D6010000}"/>
    <cellStyle name="20% - Accent4 2 3" xfId="673" xr:uid="{00000000-0005-0000-0000-0000A1020000}"/>
    <cellStyle name="20% - Accent4 2 4" xfId="469" xr:uid="{00000000-0005-0000-0000-0000D5010000}"/>
    <cellStyle name="20% - Accent4 3" xfId="471" xr:uid="{00000000-0005-0000-0000-0000D7010000}"/>
    <cellStyle name="20% - Accent4 3 2" xfId="472" xr:uid="{00000000-0005-0000-0000-0000D8010000}"/>
    <cellStyle name="20% - Accent4 4" xfId="473" xr:uid="{00000000-0005-0000-0000-0000D9010000}"/>
    <cellStyle name="20% - Accent4 5" xfId="474" xr:uid="{00000000-0005-0000-0000-0000DA010000}"/>
    <cellStyle name="20% - Accent4 5 2" xfId="475" xr:uid="{00000000-0005-0000-0000-0000DB010000}"/>
    <cellStyle name="20% - Accent4 5_Cover" xfId="476" xr:uid="{00000000-0005-0000-0000-0000DC010000}"/>
    <cellStyle name="20% - Accent4 6" xfId="649" xr:uid="{00000000-0005-0000-0000-000089020000}"/>
    <cellStyle name="20% - Accent5 2" xfId="113" xr:uid="{00000000-0005-0000-0000-000071000000}"/>
    <cellStyle name="20% - Accent5 2 2" xfId="478" xr:uid="{00000000-0005-0000-0000-0000DE010000}"/>
    <cellStyle name="20% - Accent5 2 3" xfId="674" xr:uid="{00000000-0005-0000-0000-0000A2020000}"/>
    <cellStyle name="20% - Accent5 2 4" xfId="477" xr:uid="{00000000-0005-0000-0000-0000DD010000}"/>
    <cellStyle name="20% - Accent5 3" xfId="479" xr:uid="{00000000-0005-0000-0000-0000DF010000}"/>
    <cellStyle name="20% - Accent5 3 2" xfId="480" xr:uid="{00000000-0005-0000-0000-0000E0010000}"/>
    <cellStyle name="20% - Accent5 4" xfId="481" xr:uid="{00000000-0005-0000-0000-0000E1010000}"/>
    <cellStyle name="20% - Accent5 5" xfId="482" xr:uid="{00000000-0005-0000-0000-0000E2010000}"/>
    <cellStyle name="20% - Accent5 5 2" xfId="483" xr:uid="{00000000-0005-0000-0000-0000E3010000}"/>
    <cellStyle name="20% - Accent5 5_Cover" xfId="484" xr:uid="{00000000-0005-0000-0000-0000E4010000}"/>
    <cellStyle name="20% - Accent5 6" xfId="651" xr:uid="{00000000-0005-0000-0000-00008B020000}"/>
    <cellStyle name="20% - Accent6 2" xfId="114" xr:uid="{00000000-0005-0000-0000-000072000000}"/>
    <cellStyle name="20% - Accent6 2 2" xfId="486" xr:uid="{00000000-0005-0000-0000-0000E6010000}"/>
    <cellStyle name="20% - Accent6 2 3" xfId="675" xr:uid="{00000000-0005-0000-0000-0000A3020000}"/>
    <cellStyle name="20% - Accent6 2 4" xfId="485" xr:uid="{00000000-0005-0000-0000-0000E5010000}"/>
    <cellStyle name="20% - Accent6 3" xfId="487" xr:uid="{00000000-0005-0000-0000-0000E7010000}"/>
    <cellStyle name="20% - Accent6 3 2" xfId="488" xr:uid="{00000000-0005-0000-0000-0000E8010000}"/>
    <cellStyle name="20% - Accent6 4" xfId="489" xr:uid="{00000000-0005-0000-0000-0000E9010000}"/>
    <cellStyle name="20% - Accent6 5" xfId="490" xr:uid="{00000000-0005-0000-0000-0000EA010000}"/>
    <cellStyle name="20% - Accent6 5 2" xfId="491" xr:uid="{00000000-0005-0000-0000-0000EB010000}"/>
    <cellStyle name="20% - Accent6 5_Cover" xfId="492" xr:uid="{00000000-0005-0000-0000-0000EC010000}"/>
    <cellStyle name="20% - Accent6 6" xfId="653" xr:uid="{00000000-0005-0000-0000-00008D020000}"/>
    <cellStyle name="40% - Accent1 2" xfId="115" xr:uid="{00000000-0005-0000-0000-000073000000}"/>
    <cellStyle name="40% - Accent1 2 2" xfId="494" xr:uid="{00000000-0005-0000-0000-0000EE010000}"/>
    <cellStyle name="40% - Accent1 2 3" xfId="676" xr:uid="{00000000-0005-0000-0000-0000A4020000}"/>
    <cellStyle name="40% - Accent1 2 4" xfId="493" xr:uid="{00000000-0005-0000-0000-0000ED010000}"/>
    <cellStyle name="40% - Accent1 3" xfId="495" xr:uid="{00000000-0005-0000-0000-0000EF010000}"/>
    <cellStyle name="40% - Accent1 3 2" xfId="496" xr:uid="{00000000-0005-0000-0000-0000F0010000}"/>
    <cellStyle name="40% - Accent1 4" xfId="497" xr:uid="{00000000-0005-0000-0000-0000F1010000}"/>
    <cellStyle name="40% - Accent1 5" xfId="498" xr:uid="{00000000-0005-0000-0000-0000F2010000}"/>
    <cellStyle name="40% - Accent1 5 2" xfId="499" xr:uid="{00000000-0005-0000-0000-0000F3010000}"/>
    <cellStyle name="40% - Accent1 5_Cover" xfId="500" xr:uid="{00000000-0005-0000-0000-0000F4010000}"/>
    <cellStyle name="40% - Accent1 6" xfId="644" xr:uid="{00000000-0005-0000-0000-000084020000}"/>
    <cellStyle name="40% - Accent2 2" xfId="116" xr:uid="{00000000-0005-0000-0000-000074000000}"/>
    <cellStyle name="40% - Accent2 2 2" xfId="502" xr:uid="{00000000-0005-0000-0000-0000F6010000}"/>
    <cellStyle name="40% - Accent2 2 3" xfId="677" xr:uid="{00000000-0005-0000-0000-0000A5020000}"/>
    <cellStyle name="40% - Accent2 2 4" xfId="501" xr:uid="{00000000-0005-0000-0000-0000F5010000}"/>
    <cellStyle name="40% - Accent2 3" xfId="503" xr:uid="{00000000-0005-0000-0000-0000F7010000}"/>
    <cellStyle name="40% - Accent2 3 2" xfId="504" xr:uid="{00000000-0005-0000-0000-0000F8010000}"/>
    <cellStyle name="40% - Accent2 4" xfId="505" xr:uid="{00000000-0005-0000-0000-0000F9010000}"/>
    <cellStyle name="40% - Accent2 5" xfId="506" xr:uid="{00000000-0005-0000-0000-0000FA010000}"/>
    <cellStyle name="40% - Accent2 5 2" xfId="507" xr:uid="{00000000-0005-0000-0000-0000FB010000}"/>
    <cellStyle name="40% - Accent2 5_Cover" xfId="508" xr:uid="{00000000-0005-0000-0000-0000FC010000}"/>
    <cellStyle name="40% - Accent2 6" xfId="646" xr:uid="{00000000-0005-0000-0000-000086020000}"/>
    <cellStyle name="40% - Accent3 2" xfId="117" xr:uid="{00000000-0005-0000-0000-000075000000}"/>
    <cellStyle name="40% - Accent3 2 2" xfId="510" xr:uid="{00000000-0005-0000-0000-0000FE010000}"/>
    <cellStyle name="40% - Accent3 2 3" xfId="678" xr:uid="{00000000-0005-0000-0000-0000A6020000}"/>
    <cellStyle name="40% - Accent3 2 4" xfId="509" xr:uid="{00000000-0005-0000-0000-0000FD010000}"/>
    <cellStyle name="40% - Accent3 3" xfId="511" xr:uid="{00000000-0005-0000-0000-0000FF010000}"/>
    <cellStyle name="40% - Accent3 3 2" xfId="512" xr:uid="{00000000-0005-0000-0000-000000020000}"/>
    <cellStyle name="40% - Accent3 4" xfId="513" xr:uid="{00000000-0005-0000-0000-000001020000}"/>
    <cellStyle name="40% - Accent3 5" xfId="514" xr:uid="{00000000-0005-0000-0000-000002020000}"/>
    <cellStyle name="40% - Accent3 5 2" xfId="515" xr:uid="{00000000-0005-0000-0000-000003020000}"/>
    <cellStyle name="40% - Accent3 5_Cover" xfId="516" xr:uid="{00000000-0005-0000-0000-000004020000}"/>
    <cellStyle name="40% - Accent3 6" xfId="648" xr:uid="{00000000-0005-0000-0000-000088020000}"/>
    <cellStyle name="40% - Accent4 2" xfId="118" xr:uid="{00000000-0005-0000-0000-000076000000}"/>
    <cellStyle name="40% - Accent4 2 2" xfId="518" xr:uid="{00000000-0005-0000-0000-000006020000}"/>
    <cellStyle name="40% - Accent4 2 3" xfId="679" xr:uid="{00000000-0005-0000-0000-0000A7020000}"/>
    <cellStyle name="40% - Accent4 2 4" xfId="517" xr:uid="{00000000-0005-0000-0000-000005020000}"/>
    <cellStyle name="40% - Accent4 3" xfId="519" xr:uid="{00000000-0005-0000-0000-000007020000}"/>
    <cellStyle name="40% - Accent4 3 2" xfId="520" xr:uid="{00000000-0005-0000-0000-000008020000}"/>
    <cellStyle name="40% - Accent4 4" xfId="521" xr:uid="{00000000-0005-0000-0000-000009020000}"/>
    <cellStyle name="40% - Accent4 5" xfId="522" xr:uid="{00000000-0005-0000-0000-00000A020000}"/>
    <cellStyle name="40% - Accent4 5 2" xfId="523" xr:uid="{00000000-0005-0000-0000-00000B020000}"/>
    <cellStyle name="40% - Accent4 5_Cover" xfId="524" xr:uid="{00000000-0005-0000-0000-00000C020000}"/>
    <cellStyle name="40% - Accent4 6" xfId="650" xr:uid="{00000000-0005-0000-0000-00008A020000}"/>
    <cellStyle name="40% - Accent5 2" xfId="119" xr:uid="{00000000-0005-0000-0000-000077000000}"/>
    <cellStyle name="40% - Accent5 2 2" xfId="526" xr:uid="{00000000-0005-0000-0000-00000E020000}"/>
    <cellStyle name="40% - Accent5 2 3" xfId="680" xr:uid="{00000000-0005-0000-0000-0000A8020000}"/>
    <cellStyle name="40% - Accent5 2 4" xfId="525" xr:uid="{00000000-0005-0000-0000-00000D020000}"/>
    <cellStyle name="40% - Accent5 3" xfId="527" xr:uid="{00000000-0005-0000-0000-00000F020000}"/>
    <cellStyle name="40% - Accent5 3 2" xfId="528" xr:uid="{00000000-0005-0000-0000-000010020000}"/>
    <cellStyle name="40% - Accent5 4" xfId="529" xr:uid="{00000000-0005-0000-0000-000011020000}"/>
    <cellStyle name="40% - Accent5 5" xfId="530" xr:uid="{00000000-0005-0000-0000-000012020000}"/>
    <cellStyle name="40% - Accent5 5 2" xfId="531" xr:uid="{00000000-0005-0000-0000-000013020000}"/>
    <cellStyle name="40% - Accent5 5_Cover" xfId="532" xr:uid="{00000000-0005-0000-0000-000014020000}"/>
    <cellStyle name="40% - Accent5 6" xfId="652" xr:uid="{00000000-0005-0000-0000-00008C020000}"/>
    <cellStyle name="40% - Accent6 2" xfId="120" xr:uid="{00000000-0005-0000-0000-000078000000}"/>
    <cellStyle name="40% - Accent6 2 2" xfId="534" xr:uid="{00000000-0005-0000-0000-000016020000}"/>
    <cellStyle name="40% - Accent6 2 3" xfId="681" xr:uid="{00000000-0005-0000-0000-0000A9020000}"/>
    <cellStyle name="40% - Accent6 2 4" xfId="533" xr:uid="{00000000-0005-0000-0000-000015020000}"/>
    <cellStyle name="40% - Accent6 3" xfId="535" xr:uid="{00000000-0005-0000-0000-000017020000}"/>
    <cellStyle name="40% - Accent6 3 2" xfId="536" xr:uid="{00000000-0005-0000-0000-000018020000}"/>
    <cellStyle name="40% - Accent6 4" xfId="537" xr:uid="{00000000-0005-0000-0000-000019020000}"/>
    <cellStyle name="40% - Accent6 5" xfId="538" xr:uid="{00000000-0005-0000-0000-00001A020000}"/>
    <cellStyle name="40% - Accent6 5 2" xfId="539" xr:uid="{00000000-0005-0000-0000-00001B020000}"/>
    <cellStyle name="40% - Accent6 5_Cover" xfId="540" xr:uid="{00000000-0005-0000-0000-00001C020000}"/>
    <cellStyle name="40% - Accent6 6" xfId="654" xr:uid="{00000000-0005-0000-0000-00008E020000}"/>
    <cellStyle name="60% - Accent1 2" xfId="541" xr:uid="{00000000-0005-0000-0000-00001D020000}"/>
    <cellStyle name="60% - Accent2 2" xfId="542" xr:uid="{00000000-0005-0000-0000-00001E020000}"/>
    <cellStyle name="60% - Accent3 2" xfId="543" xr:uid="{00000000-0005-0000-0000-00001F020000}"/>
    <cellStyle name="60% - Accent4 2" xfId="544" xr:uid="{00000000-0005-0000-0000-000020020000}"/>
    <cellStyle name="60% - Accent5 2" xfId="545" xr:uid="{00000000-0005-0000-0000-000021020000}"/>
    <cellStyle name="60% - Accent6 2" xfId="546" xr:uid="{00000000-0005-0000-0000-000022020000}"/>
    <cellStyle name="Accent1 2" xfId="547" xr:uid="{00000000-0005-0000-0000-000023020000}"/>
    <cellStyle name="Accent2 2" xfId="548" xr:uid="{00000000-0005-0000-0000-000024020000}"/>
    <cellStyle name="Accent3 2" xfId="549" xr:uid="{00000000-0005-0000-0000-000025020000}"/>
    <cellStyle name="Accent4 2" xfId="550" xr:uid="{00000000-0005-0000-0000-000026020000}"/>
    <cellStyle name="Accent5 2" xfId="551" xr:uid="{00000000-0005-0000-0000-000027020000}"/>
    <cellStyle name="Accent6 2" xfId="552" xr:uid="{00000000-0005-0000-0000-000028020000}"/>
    <cellStyle name="Bad 2" xfId="553" xr:uid="{00000000-0005-0000-0000-000029020000}"/>
    <cellStyle name="blp_column_header" xfId="121" xr:uid="{00000000-0005-0000-0000-000079000000}"/>
    <cellStyle name="Blue" xfId="8" xr:uid="{00000000-0005-0000-0000-000008000000}"/>
    <cellStyle name="Border Heavt" xfId="27" xr:uid="{00000000-0005-0000-0000-00001B000000}"/>
    <cellStyle name="Border Heavy" xfId="28" xr:uid="{00000000-0005-0000-0000-00001C000000}"/>
    <cellStyle name="Border Heavy'" xfId="29" xr:uid="{00000000-0005-0000-0000-00001D000000}"/>
    <cellStyle name="Border Thin" xfId="30" xr:uid="{00000000-0005-0000-0000-00001E000000}"/>
    <cellStyle name="bstitutes]_x000d__x000a_; The following mappings take Word for MS-DOS names, PostScript names, and TrueType_x000d__x000a_; names into account" xfId="636" xr:uid="{00000000-0005-0000-0000-00007C020000}"/>
    <cellStyle name="Calculation 2" xfId="554" xr:uid="{00000000-0005-0000-0000-00002A020000}"/>
    <cellStyle name="Check Cell 2" xfId="555" xr:uid="{00000000-0005-0000-0000-00002B020000}"/>
    <cellStyle name="ColHeading" xfId="556" xr:uid="{00000000-0005-0000-0000-00002C020000}"/>
    <cellStyle name="Com,ma" xfId="31" xr:uid="{00000000-0005-0000-0000-00001F000000}"/>
    <cellStyle name="Comma" xfId="437" builtinId="3"/>
    <cellStyle name="comma (1)" xfId="32" xr:uid="{00000000-0005-0000-0000-000020000000}"/>
    <cellStyle name="Comma [1]" xfId="33" xr:uid="{00000000-0005-0000-0000-000021000000}"/>
    <cellStyle name="Comma 10" xfId="712" xr:uid="{00000000-0005-0000-0000-0000C8020000}"/>
    <cellStyle name="Comma 11" xfId="709" xr:uid="{00000000-0005-0000-0000-0000C5020000}"/>
    <cellStyle name="Comma 12" xfId="705" xr:uid="{00000000-0005-0000-0000-0000C1020000}"/>
    <cellStyle name="Comma 13" xfId="439" xr:uid="{00000000-0005-0000-0000-0000B7010000}"/>
    <cellStyle name="Comma 2" xfId="2" xr:uid="{00000000-0005-0000-0000-000002000000}"/>
    <cellStyle name="Comma 2 2" xfId="557" xr:uid="{00000000-0005-0000-0000-00002D020000}"/>
    <cellStyle name="Comma 3" xfId="9" xr:uid="{00000000-0005-0000-0000-000009000000}"/>
    <cellStyle name="Comma 3 2" xfId="434" xr:uid="{00000000-0005-0000-0000-0000B2010000}"/>
    <cellStyle name="Comma 3 3" xfId="432" xr:uid="{00000000-0005-0000-0000-0000B0010000}"/>
    <cellStyle name="Comma 3 4" xfId="660" xr:uid="{00000000-0005-0000-0000-000094020000}"/>
    <cellStyle name="Comma 3 5" xfId="558" xr:uid="{00000000-0005-0000-0000-00002E020000}"/>
    <cellStyle name="Comma 4" xfId="122" xr:uid="{00000000-0005-0000-0000-00007A000000}"/>
    <cellStyle name="Comma 4 2" xfId="123" xr:uid="{00000000-0005-0000-0000-00007B000000}"/>
    <cellStyle name="Comma 4 2 2" xfId="124" xr:uid="{00000000-0005-0000-0000-00007C000000}"/>
    <cellStyle name="Comma 5" xfId="422" xr:uid="{00000000-0005-0000-0000-0000A6010000}"/>
    <cellStyle name="Comma 6" xfId="425" xr:uid="{00000000-0005-0000-0000-0000A9010000}"/>
    <cellStyle name="Comma 7" xfId="430" xr:uid="{00000000-0005-0000-0000-0000AE010000}"/>
    <cellStyle name="Comma 8" xfId="443" xr:uid="{00000000-0005-0000-0000-0000BB010000}"/>
    <cellStyle name="Comma 9" xfId="642" xr:uid="{00000000-0005-0000-0000-000082020000}"/>
    <cellStyle name="Comma0" xfId="15" xr:uid="{00000000-0005-0000-0000-00000F000000}"/>
    <cellStyle name="Company" xfId="559" xr:uid="{00000000-0005-0000-0000-00002F020000}"/>
    <cellStyle name="CurRatio" xfId="560" xr:uid="{00000000-0005-0000-0000-000030020000}"/>
    <cellStyle name="Currency" xfId="714" builtinId="4"/>
    <cellStyle name="Currency (1)" xfId="34" xr:uid="{00000000-0005-0000-0000-000022000000}"/>
    <cellStyle name="Currency [1]" xfId="35" xr:uid="{00000000-0005-0000-0000-000023000000}"/>
    <cellStyle name="Currency [2]" xfId="36" xr:uid="{00000000-0005-0000-0000-000024000000}"/>
    <cellStyle name="Currency 2" xfId="3" xr:uid="{00000000-0005-0000-0000-000003000000}"/>
    <cellStyle name="Currency 3" xfId="423" xr:uid="{00000000-0005-0000-0000-0000A7010000}"/>
    <cellStyle name="Currency 4" xfId="429" xr:uid="{00000000-0005-0000-0000-0000AD010000}"/>
    <cellStyle name="Currency 5" xfId="428" xr:uid="{00000000-0005-0000-0000-0000AC010000}"/>
    <cellStyle name="Currency 6" xfId="440" xr:uid="{00000000-0005-0000-0000-0000B8010000}"/>
    <cellStyle name="Currency0" xfId="14" xr:uid="{00000000-0005-0000-0000-00000E000000}"/>
    <cellStyle name="CustomStyle1" xfId="37" xr:uid="{00000000-0005-0000-0000-000025000000}"/>
    <cellStyle name="CustomStyle10" xfId="38" xr:uid="{00000000-0005-0000-0000-000026000000}"/>
    <cellStyle name="CustomStyle11" xfId="39" xr:uid="{00000000-0005-0000-0000-000027000000}"/>
    <cellStyle name="CustomStyle12" xfId="40" xr:uid="{00000000-0005-0000-0000-000028000000}"/>
    <cellStyle name="CustomStyle13" xfId="41" xr:uid="{00000000-0005-0000-0000-000029000000}"/>
    <cellStyle name="CustomStyle14" xfId="42" xr:uid="{00000000-0005-0000-0000-00002A000000}"/>
    <cellStyle name="CustomStyle15" xfId="43" xr:uid="{00000000-0005-0000-0000-00002B000000}"/>
    <cellStyle name="CustomStyle16" xfId="44" xr:uid="{00000000-0005-0000-0000-00002C000000}"/>
    <cellStyle name="CustomStyle17" xfId="45" xr:uid="{00000000-0005-0000-0000-00002D000000}"/>
    <cellStyle name="CustomStyle18" xfId="46" xr:uid="{00000000-0005-0000-0000-00002E000000}"/>
    <cellStyle name="CustomStyle19" xfId="47" xr:uid="{00000000-0005-0000-0000-00002F000000}"/>
    <cellStyle name="CustomStyle2" xfId="48" xr:uid="{00000000-0005-0000-0000-000030000000}"/>
    <cellStyle name="CustomStyle20" xfId="49" xr:uid="{00000000-0005-0000-0000-000031000000}"/>
    <cellStyle name="CustomStyle21" xfId="50" xr:uid="{00000000-0005-0000-0000-000032000000}"/>
    <cellStyle name="CustomStyle22" xfId="51" xr:uid="{00000000-0005-0000-0000-000033000000}"/>
    <cellStyle name="CustomStyle23" xfId="52" xr:uid="{00000000-0005-0000-0000-000034000000}"/>
    <cellStyle name="CustomStyle24" xfId="53" xr:uid="{00000000-0005-0000-0000-000035000000}"/>
    <cellStyle name="CustomStyle25" xfId="54" xr:uid="{00000000-0005-0000-0000-000036000000}"/>
    <cellStyle name="CustomStyle26" xfId="55" xr:uid="{00000000-0005-0000-0000-000037000000}"/>
    <cellStyle name="CustomStyle27" xfId="56" xr:uid="{00000000-0005-0000-0000-000038000000}"/>
    <cellStyle name="CustomStyle28" xfId="57" xr:uid="{00000000-0005-0000-0000-000039000000}"/>
    <cellStyle name="CustomStyle29" xfId="58" xr:uid="{00000000-0005-0000-0000-00003A000000}"/>
    <cellStyle name="CustomStyle3" xfId="59" xr:uid="{00000000-0005-0000-0000-00003B000000}"/>
    <cellStyle name="CustomStyle30" xfId="60" xr:uid="{00000000-0005-0000-0000-00003C000000}"/>
    <cellStyle name="CustomStyle31" xfId="61" xr:uid="{00000000-0005-0000-0000-00003D000000}"/>
    <cellStyle name="CustomStyle32" xfId="62" xr:uid="{00000000-0005-0000-0000-00003E000000}"/>
    <cellStyle name="CustomStyle33" xfId="63" xr:uid="{00000000-0005-0000-0000-00003F000000}"/>
    <cellStyle name="CustomStyle34" xfId="64" xr:uid="{00000000-0005-0000-0000-000040000000}"/>
    <cellStyle name="CustomStyle35" xfId="65" xr:uid="{00000000-0005-0000-0000-000041000000}"/>
    <cellStyle name="CustomStyle36" xfId="66" xr:uid="{00000000-0005-0000-0000-000042000000}"/>
    <cellStyle name="CustomStyle37" xfId="67" xr:uid="{00000000-0005-0000-0000-000043000000}"/>
    <cellStyle name="CustomStyle38" xfId="68" xr:uid="{00000000-0005-0000-0000-000044000000}"/>
    <cellStyle name="CustomStyle39" xfId="69" xr:uid="{00000000-0005-0000-0000-000045000000}"/>
    <cellStyle name="CustomStyle4" xfId="70" xr:uid="{00000000-0005-0000-0000-000046000000}"/>
    <cellStyle name="CustomStyle40" xfId="71" xr:uid="{00000000-0005-0000-0000-000047000000}"/>
    <cellStyle name="CustomStyle41" xfId="72" xr:uid="{00000000-0005-0000-0000-000048000000}"/>
    <cellStyle name="CustomStyle42" xfId="73" xr:uid="{00000000-0005-0000-0000-000049000000}"/>
    <cellStyle name="CustomStyle43" xfId="74" xr:uid="{00000000-0005-0000-0000-00004A000000}"/>
    <cellStyle name="CustomStyle44" xfId="75" xr:uid="{00000000-0005-0000-0000-00004B000000}"/>
    <cellStyle name="CustomStyle5" xfId="76" xr:uid="{00000000-0005-0000-0000-00004C000000}"/>
    <cellStyle name="CustomStyle6" xfId="77" xr:uid="{00000000-0005-0000-0000-00004D000000}"/>
    <cellStyle name="CustomStyle7" xfId="78" xr:uid="{00000000-0005-0000-0000-00004E000000}"/>
    <cellStyle name="CustomStyle8" xfId="79" xr:uid="{00000000-0005-0000-0000-00004F000000}"/>
    <cellStyle name="CustomStyle9" xfId="80" xr:uid="{00000000-0005-0000-0000-000050000000}"/>
    <cellStyle name="Date" xfId="12" xr:uid="{00000000-0005-0000-0000-00000C000000}"/>
    <cellStyle name="Dezimal [0]_Ergebnis" xfId="81" xr:uid="{00000000-0005-0000-0000-000051000000}"/>
    <cellStyle name="Dezimal_Ergebnis" xfId="82" xr:uid="{00000000-0005-0000-0000-000052000000}"/>
    <cellStyle name="EPS Input" xfId="83" xr:uid="{00000000-0005-0000-0000-000053000000}"/>
    <cellStyle name="Euro" xfId="561" xr:uid="{00000000-0005-0000-0000-000031020000}"/>
    <cellStyle name="Explanatory Text 2" xfId="562" xr:uid="{00000000-0005-0000-0000-000032020000}"/>
    <cellStyle name="fa_data_standard_1_grouped" xfId="563" xr:uid="{00000000-0005-0000-0000-000033020000}"/>
    <cellStyle name="Fixed" xfId="10" xr:uid="{00000000-0005-0000-0000-00000A000000}"/>
    <cellStyle name="Fraction" xfId="84" xr:uid="{00000000-0005-0000-0000-000054000000}"/>
    <cellStyle name="Good 2" xfId="564" xr:uid="{00000000-0005-0000-0000-000034020000}"/>
    <cellStyle name="Grey" xfId="565" xr:uid="{00000000-0005-0000-0000-000035020000}"/>
    <cellStyle name="Grey 2" xfId="566" xr:uid="{00000000-0005-0000-0000-000036020000}"/>
    <cellStyle name="Grey_Cover" xfId="567" xr:uid="{00000000-0005-0000-0000-000037020000}"/>
    <cellStyle name="Header" xfId="85" xr:uid="{00000000-0005-0000-0000-000055000000}"/>
    <cellStyle name="Header1" xfId="568" xr:uid="{00000000-0005-0000-0000-000038020000}"/>
    <cellStyle name="Header2" xfId="569" xr:uid="{00000000-0005-0000-0000-000039020000}"/>
    <cellStyle name="heading" xfId="86" xr:uid="{00000000-0005-0000-0000-000056000000}"/>
    <cellStyle name="Heading 1 2" xfId="570" xr:uid="{00000000-0005-0000-0000-00003A020000}"/>
    <cellStyle name="Heading 2 2" xfId="571" xr:uid="{00000000-0005-0000-0000-00003B020000}"/>
    <cellStyle name="Heading 3 2" xfId="572" xr:uid="{00000000-0005-0000-0000-00003C020000}"/>
    <cellStyle name="Heading 4 2" xfId="573" xr:uid="{00000000-0005-0000-0000-00003D020000}"/>
    <cellStyle name="Hyperlink 2" xfId="108" xr:uid="{00000000-0005-0000-0000-00006C000000}"/>
    <cellStyle name="Input [yellow]" xfId="574" xr:uid="{00000000-0005-0000-0000-00003E020000}"/>
    <cellStyle name="Input [yellow] 2" xfId="575" xr:uid="{00000000-0005-0000-0000-00003F020000}"/>
    <cellStyle name="Input [yellow]_Cover" xfId="576" xr:uid="{00000000-0005-0000-0000-000040020000}"/>
    <cellStyle name="Input 2" xfId="577" xr:uid="{00000000-0005-0000-0000-000041020000}"/>
    <cellStyle name="Input 3" xfId="578" xr:uid="{00000000-0005-0000-0000-000042020000}"/>
    <cellStyle name="Integer" xfId="579" xr:uid="{00000000-0005-0000-0000-000043020000}"/>
    <cellStyle name="Item" xfId="580" xr:uid="{00000000-0005-0000-0000-000044020000}"/>
    <cellStyle name="ItemTypeClass" xfId="581" xr:uid="{00000000-0005-0000-0000-000045020000}"/>
    <cellStyle name="Linked Cell 2" xfId="582" xr:uid="{00000000-0005-0000-0000-000046020000}"/>
    <cellStyle name="Model_Assumption" xfId="583" xr:uid="{00000000-0005-0000-0000-000047020000}"/>
    <cellStyle name="Multiple" xfId="87" xr:uid="{00000000-0005-0000-0000-000057000000}"/>
    <cellStyle name="Neutral 2" xfId="584" xr:uid="{00000000-0005-0000-0000-000048020000}"/>
    <cellStyle name="Normal" xfId="0" builtinId="0"/>
    <cellStyle name="Normal - Style1" xfId="585" xr:uid="{00000000-0005-0000-0000-000049020000}"/>
    <cellStyle name="Normal 10" xfId="125" xr:uid="{00000000-0005-0000-0000-00007D000000}"/>
    <cellStyle name="Normal 10 2" xfId="126" xr:uid="{00000000-0005-0000-0000-00007E000000}"/>
    <cellStyle name="Normal 10 3" xfId="127" xr:uid="{00000000-0005-0000-0000-00007F000000}"/>
    <cellStyle name="Normal 10 4" xfId="682" xr:uid="{00000000-0005-0000-0000-0000AA020000}"/>
    <cellStyle name="Normal 10 5" xfId="586" xr:uid="{00000000-0005-0000-0000-00004A020000}"/>
    <cellStyle name="Normal 100" xfId="128" xr:uid="{00000000-0005-0000-0000-000080000000}"/>
    <cellStyle name="Normal 101" xfId="129" xr:uid="{00000000-0005-0000-0000-000081000000}"/>
    <cellStyle name="Normal 102" xfId="130" xr:uid="{00000000-0005-0000-0000-000082000000}"/>
    <cellStyle name="Normal 103" xfId="131" xr:uid="{00000000-0005-0000-0000-000083000000}"/>
    <cellStyle name="Normal 104" xfId="132" xr:uid="{00000000-0005-0000-0000-000084000000}"/>
    <cellStyle name="Normal 105" xfId="133" xr:uid="{00000000-0005-0000-0000-000085000000}"/>
    <cellStyle name="Normal 106" xfId="134" xr:uid="{00000000-0005-0000-0000-000086000000}"/>
    <cellStyle name="Normal 107" xfId="135" xr:uid="{00000000-0005-0000-0000-000087000000}"/>
    <cellStyle name="Normal 108" xfId="136" xr:uid="{00000000-0005-0000-0000-000088000000}"/>
    <cellStyle name="Normal 109" xfId="137" xr:uid="{00000000-0005-0000-0000-000089000000}"/>
    <cellStyle name="Normal 11" xfId="138" xr:uid="{00000000-0005-0000-0000-00008A000000}"/>
    <cellStyle name="Normal 11 2" xfId="139" xr:uid="{00000000-0005-0000-0000-00008B000000}"/>
    <cellStyle name="Normal 11 2 2" xfId="684" xr:uid="{00000000-0005-0000-0000-0000AC020000}"/>
    <cellStyle name="Normal 11 2 3" xfId="588" xr:uid="{00000000-0005-0000-0000-00004C020000}"/>
    <cellStyle name="Normal 11 3" xfId="140" xr:uid="{00000000-0005-0000-0000-00008C000000}"/>
    <cellStyle name="Normal 11 4" xfId="683" xr:uid="{00000000-0005-0000-0000-0000AB020000}"/>
    <cellStyle name="Normal 11 5" xfId="587" xr:uid="{00000000-0005-0000-0000-00004B020000}"/>
    <cellStyle name="Normal 11_Cover" xfId="589" xr:uid="{00000000-0005-0000-0000-00004D020000}"/>
    <cellStyle name="Normal 110" xfId="141" xr:uid="{00000000-0005-0000-0000-00008D000000}"/>
    <cellStyle name="Normal 111" xfId="142" xr:uid="{00000000-0005-0000-0000-00008E000000}"/>
    <cellStyle name="Normal 112" xfId="143" xr:uid="{00000000-0005-0000-0000-00008F000000}"/>
    <cellStyle name="Normal 113" xfId="144" xr:uid="{00000000-0005-0000-0000-000090000000}"/>
    <cellStyle name="Normal 114" xfId="145" xr:uid="{00000000-0005-0000-0000-000091000000}"/>
    <cellStyle name="Normal 115" xfId="146" xr:uid="{00000000-0005-0000-0000-000092000000}"/>
    <cellStyle name="Normal 116" xfId="147" xr:uid="{00000000-0005-0000-0000-000093000000}"/>
    <cellStyle name="Normal 117" xfId="148" xr:uid="{00000000-0005-0000-0000-000094000000}"/>
    <cellStyle name="Normal 118" xfId="149" xr:uid="{00000000-0005-0000-0000-000095000000}"/>
    <cellStyle name="Normal 119" xfId="150" xr:uid="{00000000-0005-0000-0000-000096000000}"/>
    <cellStyle name="Normal 12" xfId="151" xr:uid="{00000000-0005-0000-0000-000097000000}"/>
    <cellStyle name="Normal 12 2" xfId="152" xr:uid="{00000000-0005-0000-0000-000098000000}"/>
    <cellStyle name="Normal 12 2 2" xfId="686" xr:uid="{00000000-0005-0000-0000-0000AE020000}"/>
    <cellStyle name="Normal 12 2 3" xfId="591" xr:uid="{00000000-0005-0000-0000-00004F020000}"/>
    <cellStyle name="Normal 12 3" xfId="153" xr:uid="{00000000-0005-0000-0000-000099000000}"/>
    <cellStyle name="Normal 12 4" xfId="685" xr:uid="{00000000-0005-0000-0000-0000AD020000}"/>
    <cellStyle name="Normal 12 5" xfId="590" xr:uid="{00000000-0005-0000-0000-00004E020000}"/>
    <cellStyle name="Normal 12_Cover" xfId="592" xr:uid="{00000000-0005-0000-0000-000050020000}"/>
    <cellStyle name="Normal 120" xfId="154" xr:uid="{00000000-0005-0000-0000-00009A000000}"/>
    <cellStyle name="Normal 121" xfId="155" xr:uid="{00000000-0005-0000-0000-00009B000000}"/>
    <cellStyle name="Normal 122" xfId="156" xr:uid="{00000000-0005-0000-0000-00009C000000}"/>
    <cellStyle name="Normal 123" xfId="157" xr:uid="{00000000-0005-0000-0000-00009D000000}"/>
    <cellStyle name="Normal 124" xfId="158" xr:uid="{00000000-0005-0000-0000-00009E000000}"/>
    <cellStyle name="Normal 125" xfId="159" xr:uid="{00000000-0005-0000-0000-00009F000000}"/>
    <cellStyle name="Normal 126" xfId="160" xr:uid="{00000000-0005-0000-0000-0000A0000000}"/>
    <cellStyle name="Normal 127" xfId="161" xr:uid="{00000000-0005-0000-0000-0000A1000000}"/>
    <cellStyle name="Normal 128" xfId="162" xr:uid="{00000000-0005-0000-0000-0000A2000000}"/>
    <cellStyle name="Normal 129" xfId="163" xr:uid="{00000000-0005-0000-0000-0000A3000000}"/>
    <cellStyle name="Normal 13" xfId="164" xr:uid="{00000000-0005-0000-0000-0000A4000000}"/>
    <cellStyle name="Normal 13 2" xfId="165" xr:uid="{00000000-0005-0000-0000-0000A5000000}"/>
    <cellStyle name="Normal 13 2 2" xfId="688" xr:uid="{00000000-0005-0000-0000-0000B0020000}"/>
    <cellStyle name="Normal 13 2 3" xfId="594" xr:uid="{00000000-0005-0000-0000-000052020000}"/>
    <cellStyle name="Normal 13 3" xfId="166" xr:uid="{00000000-0005-0000-0000-0000A6000000}"/>
    <cellStyle name="Normal 13 4" xfId="687" xr:uid="{00000000-0005-0000-0000-0000AF020000}"/>
    <cellStyle name="Normal 13 5" xfId="593" xr:uid="{00000000-0005-0000-0000-000051020000}"/>
    <cellStyle name="Normal 13_Cover" xfId="595" xr:uid="{00000000-0005-0000-0000-000053020000}"/>
    <cellStyle name="Normal 130" xfId="167" xr:uid="{00000000-0005-0000-0000-0000A7000000}"/>
    <cellStyle name="Normal 131" xfId="168" xr:uid="{00000000-0005-0000-0000-0000A8000000}"/>
    <cellStyle name="Normal 132" xfId="426" xr:uid="{00000000-0005-0000-0000-0000AA010000}"/>
    <cellStyle name="Normal 132 2" xfId="436" xr:uid="{00000000-0005-0000-0000-0000B4010000}"/>
    <cellStyle name="Normal 133" xfId="703" xr:uid="{00000000-0005-0000-0000-0000BF020000}"/>
    <cellStyle name="Normal 134" xfId="701" xr:uid="{00000000-0005-0000-0000-0000BD020000}"/>
    <cellStyle name="Normal 135" xfId="442" xr:uid="{00000000-0005-0000-0000-0000BA010000}"/>
    <cellStyle name="Normal 136" xfId="641" xr:uid="{00000000-0005-0000-0000-000081020000}"/>
    <cellStyle name="Normal 137" xfId="713" xr:uid="{00000000-0005-0000-0000-0000C9020000}"/>
    <cellStyle name="Normal 138" xfId="707" xr:uid="{00000000-0005-0000-0000-0000C3020000}"/>
    <cellStyle name="Normal 139" xfId="711" xr:uid="{00000000-0005-0000-0000-0000C7020000}"/>
    <cellStyle name="Normal 14" xfId="169" xr:uid="{00000000-0005-0000-0000-0000A9000000}"/>
    <cellStyle name="Normal 14 2" xfId="170" xr:uid="{00000000-0005-0000-0000-0000AA000000}"/>
    <cellStyle name="Normal 14 2 2" xfId="690" xr:uid="{00000000-0005-0000-0000-0000B2020000}"/>
    <cellStyle name="Normal 14 2 3" xfId="597" xr:uid="{00000000-0005-0000-0000-000055020000}"/>
    <cellStyle name="Normal 14 3" xfId="171" xr:uid="{00000000-0005-0000-0000-0000AB000000}"/>
    <cellStyle name="Normal 14 4" xfId="689" xr:uid="{00000000-0005-0000-0000-0000B1020000}"/>
    <cellStyle name="Normal 14 5" xfId="596" xr:uid="{00000000-0005-0000-0000-000054020000}"/>
    <cellStyle name="Normal 14_Cover" xfId="598" xr:uid="{00000000-0005-0000-0000-000056020000}"/>
    <cellStyle name="Normal 140" xfId="438" xr:uid="{00000000-0005-0000-0000-0000B6010000}"/>
    <cellStyle name="Normal 15" xfId="172" xr:uid="{00000000-0005-0000-0000-0000AC000000}"/>
    <cellStyle name="Normal 15 2" xfId="173" xr:uid="{00000000-0005-0000-0000-0000AD000000}"/>
    <cellStyle name="Normal 15 3" xfId="174" xr:uid="{00000000-0005-0000-0000-0000AE000000}"/>
    <cellStyle name="Normal 16" xfId="175" xr:uid="{00000000-0005-0000-0000-0000AF000000}"/>
    <cellStyle name="Normal 16 2" xfId="176" xr:uid="{00000000-0005-0000-0000-0000B0000000}"/>
    <cellStyle name="Normal 16 3" xfId="177" xr:uid="{00000000-0005-0000-0000-0000B1000000}"/>
    <cellStyle name="Normal 17" xfId="178" xr:uid="{00000000-0005-0000-0000-0000B2000000}"/>
    <cellStyle name="Normal 17 2" xfId="179" xr:uid="{00000000-0005-0000-0000-0000B3000000}"/>
    <cellStyle name="Normal 17 3" xfId="180" xr:uid="{00000000-0005-0000-0000-0000B4000000}"/>
    <cellStyle name="Normal 18" xfId="181" xr:uid="{00000000-0005-0000-0000-0000B5000000}"/>
    <cellStyle name="Normal 18 2" xfId="182" xr:uid="{00000000-0005-0000-0000-0000B6000000}"/>
    <cellStyle name="Normal 18 3" xfId="183" xr:uid="{00000000-0005-0000-0000-0000B7000000}"/>
    <cellStyle name="Normal 19" xfId="184" xr:uid="{00000000-0005-0000-0000-0000B8000000}"/>
    <cellStyle name="Normal 19 2" xfId="185" xr:uid="{00000000-0005-0000-0000-0000B9000000}"/>
    <cellStyle name="Normal 19 3" xfId="186" xr:uid="{00000000-0005-0000-0000-0000BA000000}"/>
    <cellStyle name="Normal 2" xfId="7" xr:uid="{00000000-0005-0000-0000-000007000000}"/>
    <cellStyle name="Normal 2 10" xfId="637" xr:uid="{00000000-0005-0000-0000-00007D020000}"/>
    <cellStyle name="Normal 2 2" xfId="24" xr:uid="{00000000-0005-0000-0000-000018000000}"/>
    <cellStyle name="Normal 2 2 2" xfId="187" xr:uid="{00000000-0005-0000-0000-0000BB000000}"/>
    <cellStyle name="Normal 2 2 3" xfId="667" xr:uid="{00000000-0005-0000-0000-00009B020000}"/>
    <cellStyle name="Normal 2 2 4" xfId="702" xr:uid="{00000000-0005-0000-0000-0000BE020000}"/>
    <cellStyle name="Normal 2 2 5" xfId="599" xr:uid="{00000000-0005-0000-0000-000057020000}"/>
    <cellStyle name="Normal 2 3" xfId="16" xr:uid="{00000000-0005-0000-0000-000010000000}"/>
    <cellStyle name="Normal 2 3 2" xfId="188" xr:uid="{00000000-0005-0000-0000-0000BC000000}"/>
    <cellStyle name="Normal 2 4" xfId="189" xr:uid="{00000000-0005-0000-0000-0000BD000000}"/>
    <cellStyle name="Normal 2 5" xfId="659" xr:uid="{00000000-0005-0000-0000-000093020000}"/>
    <cellStyle name="Normal 20" xfId="190" xr:uid="{00000000-0005-0000-0000-0000BE000000}"/>
    <cellStyle name="Normal 20 2" xfId="191" xr:uid="{00000000-0005-0000-0000-0000BF000000}"/>
    <cellStyle name="Normal 20 3" xfId="192" xr:uid="{00000000-0005-0000-0000-0000C0000000}"/>
    <cellStyle name="Normal 21" xfId="193" xr:uid="{00000000-0005-0000-0000-0000C1000000}"/>
    <cellStyle name="Normal 21 2" xfId="194" xr:uid="{00000000-0005-0000-0000-0000C2000000}"/>
    <cellStyle name="Normal 21 3" xfId="195" xr:uid="{00000000-0005-0000-0000-0000C3000000}"/>
    <cellStyle name="Normal 22" xfId="196" xr:uid="{00000000-0005-0000-0000-0000C4000000}"/>
    <cellStyle name="Normal 22 2" xfId="197" xr:uid="{00000000-0005-0000-0000-0000C5000000}"/>
    <cellStyle name="Normal 22 3" xfId="198" xr:uid="{00000000-0005-0000-0000-0000C6000000}"/>
    <cellStyle name="Normal 23" xfId="199" xr:uid="{00000000-0005-0000-0000-0000C7000000}"/>
    <cellStyle name="Normal 23 2" xfId="200" xr:uid="{00000000-0005-0000-0000-0000C8000000}"/>
    <cellStyle name="Normal 23 3" xfId="201" xr:uid="{00000000-0005-0000-0000-0000C9000000}"/>
    <cellStyle name="Normal 23 4" xfId="691" xr:uid="{00000000-0005-0000-0000-0000B3020000}"/>
    <cellStyle name="Normal 23 5" xfId="600" xr:uid="{00000000-0005-0000-0000-000058020000}"/>
    <cellStyle name="Normal 24" xfId="202" xr:uid="{00000000-0005-0000-0000-0000CA000000}"/>
    <cellStyle name="Normal 24 2" xfId="203" xr:uid="{00000000-0005-0000-0000-0000CB000000}"/>
    <cellStyle name="Normal 24 3" xfId="204" xr:uid="{00000000-0005-0000-0000-0000CC000000}"/>
    <cellStyle name="Normal 25" xfId="205" xr:uid="{00000000-0005-0000-0000-0000CD000000}"/>
    <cellStyle name="Normal 25 2" xfId="206" xr:uid="{00000000-0005-0000-0000-0000CE000000}"/>
    <cellStyle name="Normal 25 3" xfId="207" xr:uid="{00000000-0005-0000-0000-0000CF000000}"/>
    <cellStyle name="Normal 26" xfId="208" xr:uid="{00000000-0005-0000-0000-0000D0000000}"/>
    <cellStyle name="Normal 26 2" xfId="209" xr:uid="{00000000-0005-0000-0000-0000D1000000}"/>
    <cellStyle name="Normal 26 3" xfId="210" xr:uid="{00000000-0005-0000-0000-0000D2000000}"/>
    <cellStyle name="Normal 27" xfId="211" xr:uid="{00000000-0005-0000-0000-0000D3000000}"/>
    <cellStyle name="Normal 27 2" xfId="212" xr:uid="{00000000-0005-0000-0000-0000D4000000}"/>
    <cellStyle name="Normal 27 3" xfId="213" xr:uid="{00000000-0005-0000-0000-0000D5000000}"/>
    <cellStyle name="Normal 28" xfId="214" xr:uid="{00000000-0005-0000-0000-0000D6000000}"/>
    <cellStyle name="Normal 28 2" xfId="215" xr:uid="{00000000-0005-0000-0000-0000D7000000}"/>
    <cellStyle name="Normal 28 3" xfId="216" xr:uid="{00000000-0005-0000-0000-0000D8000000}"/>
    <cellStyle name="Normal 29" xfId="217" xr:uid="{00000000-0005-0000-0000-0000D9000000}"/>
    <cellStyle name="Normal 29 2" xfId="218" xr:uid="{00000000-0005-0000-0000-0000DA000000}"/>
    <cellStyle name="Normal 29 3" xfId="219" xr:uid="{00000000-0005-0000-0000-0000DB000000}"/>
    <cellStyle name="Normal 3" xfId="6" xr:uid="{00000000-0005-0000-0000-000006000000}"/>
    <cellStyle name="Normal 3 2" xfId="23" xr:uid="{00000000-0005-0000-0000-000017000000}"/>
    <cellStyle name="Normal 3 2 2" xfId="435" xr:uid="{00000000-0005-0000-0000-0000B3010000}"/>
    <cellStyle name="Normal 3 2 3" xfId="666" xr:uid="{00000000-0005-0000-0000-00009A020000}"/>
    <cellStyle name="Normal 3 2 4" xfId="601" xr:uid="{00000000-0005-0000-0000-000059020000}"/>
    <cellStyle name="Normal 3 3" xfId="26" xr:uid="{00000000-0005-0000-0000-00001A000000}"/>
    <cellStyle name="Normal 3 3 2" xfId="433" xr:uid="{00000000-0005-0000-0000-0000B1010000}"/>
    <cellStyle name="Normal 3 3 3" xfId="669" xr:uid="{00000000-0005-0000-0000-00009D020000}"/>
    <cellStyle name="Normal 3 3 4" xfId="639" xr:uid="{00000000-0005-0000-0000-00007F020000}"/>
    <cellStyle name="Normal 3 4" xfId="17" xr:uid="{00000000-0005-0000-0000-000011000000}"/>
    <cellStyle name="Normal 3 5" xfId="13" xr:uid="{00000000-0005-0000-0000-00000D000000}"/>
    <cellStyle name="Normal 3 6" xfId="658" xr:uid="{00000000-0005-0000-0000-000092020000}"/>
    <cellStyle name="Normal 3_Cover" xfId="602" xr:uid="{00000000-0005-0000-0000-00005A020000}"/>
    <cellStyle name="Normal 30" xfId="220" xr:uid="{00000000-0005-0000-0000-0000DC000000}"/>
    <cellStyle name="Normal 30 2" xfId="221" xr:uid="{00000000-0005-0000-0000-0000DD000000}"/>
    <cellStyle name="Normal 30 3" xfId="222" xr:uid="{00000000-0005-0000-0000-0000DE000000}"/>
    <cellStyle name="Normal 31" xfId="223" xr:uid="{00000000-0005-0000-0000-0000DF000000}"/>
    <cellStyle name="Normal 31 2" xfId="224" xr:uid="{00000000-0005-0000-0000-0000E0000000}"/>
    <cellStyle name="Normal 31 3" xfId="225" xr:uid="{00000000-0005-0000-0000-0000E1000000}"/>
    <cellStyle name="Normal 32" xfId="226" xr:uid="{00000000-0005-0000-0000-0000E2000000}"/>
    <cellStyle name="Normal 32 2" xfId="227" xr:uid="{00000000-0005-0000-0000-0000E3000000}"/>
    <cellStyle name="Normal 32 3" xfId="228" xr:uid="{00000000-0005-0000-0000-0000E4000000}"/>
    <cellStyle name="Normal 33" xfId="229" xr:uid="{00000000-0005-0000-0000-0000E5000000}"/>
    <cellStyle name="Normal 33 2" xfId="230" xr:uid="{00000000-0005-0000-0000-0000E6000000}"/>
    <cellStyle name="Normal 33 3" xfId="231" xr:uid="{00000000-0005-0000-0000-0000E7000000}"/>
    <cellStyle name="Normal 34" xfId="232" xr:uid="{00000000-0005-0000-0000-0000E8000000}"/>
    <cellStyle name="Normal 34 2" xfId="233" xr:uid="{00000000-0005-0000-0000-0000E9000000}"/>
    <cellStyle name="Normal 34 3" xfId="234" xr:uid="{00000000-0005-0000-0000-0000EA000000}"/>
    <cellStyle name="Normal 35" xfId="235" xr:uid="{00000000-0005-0000-0000-0000EB000000}"/>
    <cellStyle name="Normal 35 2" xfId="236" xr:uid="{00000000-0005-0000-0000-0000EC000000}"/>
    <cellStyle name="Normal 35 3" xfId="237" xr:uid="{00000000-0005-0000-0000-0000ED000000}"/>
    <cellStyle name="Normal 36" xfId="238" xr:uid="{00000000-0005-0000-0000-0000EE000000}"/>
    <cellStyle name="Normal 36 2" xfId="239" xr:uid="{00000000-0005-0000-0000-0000EF000000}"/>
    <cellStyle name="Normal 36 3" xfId="240" xr:uid="{00000000-0005-0000-0000-0000F0000000}"/>
    <cellStyle name="Normal 37" xfId="241" xr:uid="{00000000-0005-0000-0000-0000F1000000}"/>
    <cellStyle name="Normal 37 2" xfId="242" xr:uid="{00000000-0005-0000-0000-0000F2000000}"/>
    <cellStyle name="Normal 37 3" xfId="243" xr:uid="{00000000-0005-0000-0000-0000F3000000}"/>
    <cellStyle name="Normal 38" xfId="244" xr:uid="{00000000-0005-0000-0000-0000F4000000}"/>
    <cellStyle name="Normal 38 2" xfId="245" xr:uid="{00000000-0005-0000-0000-0000F5000000}"/>
    <cellStyle name="Normal 38 3" xfId="246" xr:uid="{00000000-0005-0000-0000-0000F6000000}"/>
    <cellStyle name="Normal 39" xfId="247" xr:uid="{00000000-0005-0000-0000-0000F7000000}"/>
    <cellStyle name="Normal 39 2" xfId="248" xr:uid="{00000000-0005-0000-0000-0000F8000000}"/>
    <cellStyle name="Normal 39 3" xfId="249" xr:uid="{00000000-0005-0000-0000-0000F9000000}"/>
    <cellStyle name="Normal 4" xfId="21" xr:uid="{00000000-0005-0000-0000-000015000000}"/>
    <cellStyle name="Normal 4 2" xfId="250" xr:uid="{00000000-0005-0000-0000-0000FA000000}"/>
    <cellStyle name="Normal 4 2 2" xfId="692" xr:uid="{00000000-0005-0000-0000-0000B4020000}"/>
    <cellStyle name="Normal 4 2 3" xfId="603" xr:uid="{00000000-0005-0000-0000-00005B020000}"/>
    <cellStyle name="Normal 4 3" xfId="700" xr:uid="{00000000-0005-0000-0000-0000BC020000}"/>
    <cellStyle name="Normal 40" xfId="251" xr:uid="{00000000-0005-0000-0000-0000FB000000}"/>
    <cellStyle name="Normal 40 2" xfId="252" xr:uid="{00000000-0005-0000-0000-0000FC000000}"/>
    <cellStyle name="Normal 40 3" xfId="253" xr:uid="{00000000-0005-0000-0000-0000FD000000}"/>
    <cellStyle name="Normal 41" xfId="254" xr:uid="{00000000-0005-0000-0000-0000FE000000}"/>
    <cellStyle name="Normal 41 2" xfId="255" xr:uid="{00000000-0005-0000-0000-0000FF000000}"/>
    <cellStyle name="Normal 41 3" xfId="256" xr:uid="{00000000-0005-0000-0000-000000010000}"/>
    <cellStyle name="Normal 42" xfId="257" xr:uid="{00000000-0005-0000-0000-000001010000}"/>
    <cellStyle name="Normal 42 2" xfId="258" xr:uid="{00000000-0005-0000-0000-000002010000}"/>
    <cellStyle name="Normal 42 3" xfId="259" xr:uid="{00000000-0005-0000-0000-000003010000}"/>
    <cellStyle name="Normal 43" xfId="260" xr:uid="{00000000-0005-0000-0000-000004010000}"/>
    <cellStyle name="Normal 43 2" xfId="261" xr:uid="{00000000-0005-0000-0000-000005010000}"/>
    <cellStyle name="Normal 43 3" xfId="262" xr:uid="{00000000-0005-0000-0000-000006010000}"/>
    <cellStyle name="Normal 44" xfId="263" xr:uid="{00000000-0005-0000-0000-000007010000}"/>
    <cellStyle name="Normal 44 2" xfId="264" xr:uid="{00000000-0005-0000-0000-000008010000}"/>
    <cellStyle name="Normal 44 3" xfId="265" xr:uid="{00000000-0005-0000-0000-000009010000}"/>
    <cellStyle name="Normal 45" xfId="266" xr:uid="{00000000-0005-0000-0000-00000A010000}"/>
    <cellStyle name="Normal 45 2" xfId="267" xr:uid="{00000000-0005-0000-0000-00000B010000}"/>
    <cellStyle name="Normal 45 3" xfId="268" xr:uid="{00000000-0005-0000-0000-00000C010000}"/>
    <cellStyle name="Normal 46" xfId="269" xr:uid="{00000000-0005-0000-0000-00000D010000}"/>
    <cellStyle name="Normal 46 2" xfId="270" xr:uid="{00000000-0005-0000-0000-00000E010000}"/>
    <cellStyle name="Normal 46 3" xfId="271" xr:uid="{00000000-0005-0000-0000-00000F010000}"/>
    <cellStyle name="Normal 47" xfId="272" xr:uid="{00000000-0005-0000-0000-000010010000}"/>
    <cellStyle name="Normal 47 2" xfId="273" xr:uid="{00000000-0005-0000-0000-000011010000}"/>
    <cellStyle name="Normal 47 3" xfId="274" xr:uid="{00000000-0005-0000-0000-000012010000}"/>
    <cellStyle name="Normal 48" xfId="275" xr:uid="{00000000-0005-0000-0000-000013010000}"/>
    <cellStyle name="Normal 48 2" xfId="276" xr:uid="{00000000-0005-0000-0000-000014010000}"/>
    <cellStyle name="Normal 48 3" xfId="277" xr:uid="{00000000-0005-0000-0000-000015010000}"/>
    <cellStyle name="Normal 49" xfId="278" xr:uid="{00000000-0005-0000-0000-000016010000}"/>
    <cellStyle name="Normal 49 2" xfId="279" xr:uid="{00000000-0005-0000-0000-000017010000}"/>
    <cellStyle name="Normal 49 3" xfId="280" xr:uid="{00000000-0005-0000-0000-000018010000}"/>
    <cellStyle name="Normal 5" xfId="18" xr:uid="{00000000-0005-0000-0000-000012000000}"/>
    <cellStyle name="Normal 5 2" xfId="281" xr:uid="{00000000-0005-0000-0000-000019010000}"/>
    <cellStyle name="Normal 5 2 2" xfId="693" xr:uid="{00000000-0005-0000-0000-0000B5020000}"/>
    <cellStyle name="Normal 5 2 3" xfId="605" xr:uid="{00000000-0005-0000-0000-00005D020000}"/>
    <cellStyle name="Normal 5 3" xfId="282" xr:uid="{00000000-0005-0000-0000-00001A010000}"/>
    <cellStyle name="Normal 5 3 2" xfId="283" xr:uid="{00000000-0005-0000-0000-00001B010000}"/>
    <cellStyle name="Normal 5 3 3" xfId="284" xr:uid="{00000000-0005-0000-0000-00001C010000}"/>
    <cellStyle name="Normal 5 3 4" xfId="285" xr:uid="{00000000-0005-0000-0000-00001D010000}"/>
    <cellStyle name="Normal 5 3 5" xfId="286" xr:uid="{00000000-0005-0000-0000-00001E010000}"/>
    <cellStyle name="Normal 5 4" xfId="287" xr:uid="{00000000-0005-0000-0000-00001F010000}"/>
    <cellStyle name="Normal 5 5" xfId="662" xr:uid="{00000000-0005-0000-0000-000096020000}"/>
    <cellStyle name="Normal 5 6" xfId="604" xr:uid="{00000000-0005-0000-0000-00005C020000}"/>
    <cellStyle name="Normal 50" xfId="288" xr:uid="{00000000-0005-0000-0000-000020010000}"/>
    <cellStyle name="Normal 50 2" xfId="289" xr:uid="{00000000-0005-0000-0000-000021010000}"/>
    <cellStyle name="Normal 50 3" xfId="290" xr:uid="{00000000-0005-0000-0000-000022010000}"/>
    <cellStyle name="Normal 51" xfId="291" xr:uid="{00000000-0005-0000-0000-000023010000}"/>
    <cellStyle name="Normal 51 2" xfId="292" xr:uid="{00000000-0005-0000-0000-000024010000}"/>
    <cellStyle name="Normal 51 3" xfId="293" xr:uid="{00000000-0005-0000-0000-000025010000}"/>
    <cellStyle name="Normal 52" xfId="294" xr:uid="{00000000-0005-0000-0000-000026010000}"/>
    <cellStyle name="Normal 52 2" xfId="295" xr:uid="{00000000-0005-0000-0000-000027010000}"/>
    <cellStyle name="Normal 52 3" xfId="296" xr:uid="{00000000-0005-0000-0000-000028010000}"/>
    <cellStyle name="Normal 53" xfId="297" xr:uid="{00000000-0005-0000-0000-000029010000}"/>
    <cellStyle name="Normal 53 2" xfId="298" xr:uid="{00000000-0005-0000-0000-00002A010000}"/>
    <cellStyle name="Normal 53 3" xfId="299" xr:uid="{00000000-0005-0000-0000-00002B010000}"/>
    <cellStyle name="Normal 54" xfId="300" xr:uid="{00000000-0005-0000-0000-00002C010000}"/>
    <cellStyle name="Normal 54 2" xfId="301" xr:uid="{00000000-0005-0000-0000-00002D010000}"/>
    <cellStyle name="Normal 54 3" xfId="302" xr:uid="{00000000-0005-0000-0000-00002E010000}"/>
    <cellStyle name="Normal 55" xfId="303" xr:uid="{00000000-0005-0000-0000-00002F010000}"/>
    <cellStyle name="Normal 55 2" xfId="304" xr:uid="{00000000-0005-0000-0000-000030010000}"/>
    <cellStyle name="Normal 55 3" xfId="305" xr:uid="{00000000-0005-0000-0000-000031010000}"/>
    <cellStyle name="Normal 56" xfId="306" xr:uid="{00000000-0005-0000-0000-000032010000}"/>
    <cellStyle name="Normal 56 2" xfId="307" xr:uid="{00000000-0005-0000-0000-000033010000}"/>
    <cellStyle name="Normal 56 3" xfId="308" xr:uid="{00000000-0005-0000-0000-000034010000}"/>
    <cellStyle name="Normal 57" xfId="309" xr:uid="{00000000-0005-0000-0000-000035010000}"/>
    <cellStyle name="Normal 57 2" xfId="310" xr:uid="{00000000-0005-0000-0000-000036010000}"/>
    <cellStyle name="Normal 57 3" xfId="311" xr:uid="{00000000-0005-0000-0000-000037010000}"/>
    <cellStyle name="Normal 58" xfId="312" xr:uid="{00000000-0005-0000-0000-000038010000}"/>
    <cellStyle name="Normal 58 2" xfId="313" xr:uid="{00000000-0005-0000-0000-000039010000}"/>
    <cellStyle name="Normal 58 3" xfId="314" xr:uid="{00000000-0005-0000-0000-00003A010000}"/>
    <cellStyle name="Normal 59" xfId="315" xr:uid="{00000000-0005-0000-0000-00003B010000}"/>
    <cellStyle name="Normal 59 2" xfId="316" xr:uid="{00000000-0005-0000-0000-00003C010000}"/>
    <cellStyle name="Normal 59 3" xfId="317" xr:uid="{00000000-0005-0000-0000-00003D010000}"/>
    <cellStyle name="Normal 6" xfId="5" xr:uid="{00000000-0005-0000-0000-000005000000}"/>
    <cellStyle name="Normal 6 2" xfId="22" xr:uid="{00000000-0005-0000-0000-000016000000}"/>
    <cellStyle name="Normal 6 2 2" xfId="319" xr:uid="{00000000-0005-0000-0000-00003F010000}"/>
    <cellStyle name="Normal 6 2 3" xfId="665" xr:uid="{00000000-0005-0000-0000-000099020000}"/>
    <cellStyle name="Normal 6 2 4" xfId="607" xr:uid="{00000000-0005-0000-0000-00005F020000}"/>
    <cellStyle name="Normal 6 3" xfId="25" xr:uid="{00000000-0005-0000-0000-000019000000}"/>
    <cellStyle name="Normal 6 3 2" xfId="668" xr:uid="{00000000-0005-0000-0000-00009C020000}"/>
    <cellStyle name="Normal 6 4" xfId="19" xr:uid="{00000000-0005-0000-0000-000013000000}"/>
    <cellStyle name="Normal 6 4 2" xfId="663" xr:uid="{00000000-0005-0000-0000-000097020000}"/>
    <cellStyle name="Normal 6 5" xfId="318" xr:uid="{00000000-0005-0000-0000-00003E010000}"/>
    <cellStyle name="Normal 6 6" xfId="657" xr:uid="{00000000-0005-0000-0000-000091020000}"/>
    <cellStyle name="Normal 6 7" xfId="606" xr:uid="{00000000-0005-0000-0000-00005E020000}"/>
    <cellStyle name="Normal 60" xfId="320" xr:uid="{00000000-0005-0000-0000-000040010000}"/>
    <cellStyle name="Normal 60 2" xfId="321" xr:uid="{00000000-0005-0000-0000-000041010000}"/>
    <cellStyle name="Normal 60 3" xfId="322" xr:uid="{00000000-0005-0000-0000-000042010000}"/>
    <cellStyle name="Normal 61" xfId="323" xr:uid="{00000000-0005-0000-0000-000043010000}"/>
    <cellStyle name="Normal 61 2" xfId="324" xr:uid="{00000000-0005-0000-0000-000044010000}"/>
    <cellStyle name="Normal 61 3" xfId="325" xr:uid="{00000000-0005-0000-0000-000045010000}"/>
    <cellStyle name="Normal 62" xfId="326" xr:uid="{00000000-0005-0000-0000-000046010000}"/>
    <cellStyle name="Normal 62 2" xfId="327" xr:uid="{00000000-0005-0000-0000-000047010000}"/>
    <cellStyle name="Normal 62 3" xfId="328" xr:uid="{00000000-0005-0000-0000-000048010000}"/>
    <cellStyle name="Normal 63" xfId="329" xr:uid="{00000000-0005-0000-0000-000049010000}"/>
    <cellStyle name="Normal 63 2" xfId="330" xr:uid="{00000000-0005-0000-0000-00004A010000}"/>
    <cellStyle name="Normal 63 3" xfId="331" xr:uid="{00000000-0005-0000-0000-00004B010000}"/>
    <cellStyle name="Normal 64" xfId="332" xr:uid="{00000000-0005-0000-0000-00004C010000}"/>
    <cellStyle name="Normal 64 2" xfId="333" xr:uid="{00000000-0005-0000-0000-00004D010000}"/>
    <cellStyle name="Normal 64 3" xfId="334" xr:uid="{00000000-0005-0000-0000-00004E010000}"/>
    <cellStyle name="Normal 65" xfId="335" xr:uid="{00000000-0005-0000-0000-00004F010000}"/>
    <cellStyle name="Normal 65 2" xfId="336" xr:uid="{00000000-0005-0000-0000-000050010000}"/>
    <cellStyle name="Normal 65 3" xfId="337" xr:uid="{00000000-0005-0000-0000-000051010000}"/>
    <cellStyle name="Normal 66" xfId="338" xr:uid="{00000000-0005-0000-0000-000052010000}"/>
    <cellStyle name="Normal 66 2" xfId="339" xr:uid="{00000000-0005-0000-0000-000053010000}"/>
    <cellStyle name="Normal 66 3" xfId="340" xr:uid="{00000000-0005-0000-0000-000054010000}"/>
    <cellStyle name="Normal 67" xfId="341" xr:uid="{00000000-0005-0000-0000-000055010000}"/>
    <cellStyle name="Normal 67 2" xfId="342" xr:uid="{00000000-0005-0000-0000-000056010000}"/>
    <cellStyle name="Normal 67 3" xfId="343" xr:uid="{00000000-0005-0000-0000-000057010000}"/>
    <cellStyle name="Normal 68" xfId="344" xr:uid="{00000000-0005-0000-0000-000058010000}"/>
    <cellStyle name="Normal 68 2" xfId="345" xr:uid="{00000000-0005-0000-0000-000059010000}"/>
    <cellStyle name="Normal 68 3" xfId="346" xr:uid="{00000000-0005-0000-0000-00005A010000}"/>
    <cellStyle name="Normal 69" xfId="347" xr:uid="{00000000-0005-0000-0000-00005B010000}"/>
    <cellStyle name="Normal 69 2" xfId="348" xr:uid="{00000000-0005-0000-0000-00005C010000}"/>
    <cellStyle name="Normal 69 3" xfId="349" xr:uid="{00000000-0005-0000-0000-00005D010000}"/>
    <cellStyle name="Normal 7" xfId="1" xr:uid="{00000000-0005-0000-0000-000001000000}"/>
    <cellStyle name="Normal 7 2" xfId="350" xr:uid="{00000000-0005-0000-0000-00005E010000}"/>
    <cellStyle name="Normal 7 2 2" xfId="694" xr:uid="{00000000-0005-0000-0000-0000B6020000}"/>
    <cellStyle name="Normal 7 2 3" xfId="609" xr:uid="{00000000-0005-0000-0000-000061020000}"/>
    <cellStyle name="Normal 7 3" xfId="656" xr:uid="{00000000-0005-0000-0000-000090020000}"/>
    <cellStyle name="Normal 7 4" xfId="608" xr:uid="{00000000-0005-0000-0000-000060020000}"/>
    <cellStyle name="Normal 70" xfId="351" xr:uid="{00000000-0005-0000-0000-00005F010000}"/>
    <cellStyle name="Normal 70 2" xfId="352" xr:uid="{00000000-0005-0000-0000-000060010000}"/>
    <cellStyle name="Normal 70 3" xfId="353" xr:uid="{00000000-0005-0000-0000-000061010000}"/>
    <cellStyle name="Normal 71" xfId="354" xr:uid="{00000000-0005-0000-0000-000062010000}"/>
    <cellStyle name="Normal 71 2" xfId="355" xr:uid="{00000000-0005-0000-0000-000063010000}"/>
    <cellStyle name="Normal 71 3" xfId="356" xr:uid="{00000000-0005-0000-0000-000064010000}"/>
    <cellStyle name="Normal 72" xfId="357" xr:uid="{00000000-0005-0000-0000-000065010000}"/>
    <cellStyle name="Normal 72 2" xfId="358" xr:uid="{00000000-0005-0000-0000-000066010000}"/>
    <cellStyle name="Normal 72 3" xfId="359" xr:uid="{00000000-0005-0000-0000-000067010000}"/>
    <cellStyle name="Normal 73" xfId="360" xr:uid="{00000000-0005-0000-0000-000068010000}"/>
    <cellStyle name="Normal 73 2" xfId="361" xr:uid="{00000000-0005-0000-0000-000069010000}"/>
    <cellStyle name="Normal 73 3" xfId="362" xr:uid="{00000000-0005-0000-0000-00006A010000}"/>
    <cellStyle name="Normal 74" xfId="363" xr:uid="{00000000-0005-0000-0000-00006B010000}"/>
    <cellStyle name="Normal 74 2" xfId="364" xr:uid="{00000000-0005-0000-0000-00006C010000}"/>
    <cellStyle name="Normal 74 3" xfId="365" xr:uid="{00000000-0005-0000-0000-00006D010000}"/>
    <cellStyle name="Normal 75" xfId="366" xr:uid="{00000000-0005-0000-0000-00006E010000}"/>
    <cellStyle name="Normal 75 2" xfId="367" xr:uid="{00000000-0005-0000-0000-00006F010000}"/>
    <cellStyle name="Normal 75 3" xfId="368" xr:uid="{00000000-0005-0000-0000-000070010000}"/>
    <cellStyle name="Normal 76" xfId="369" xr:uid="{00000000-0005-0000-0000-000071010000}"/>
    <cellStyle name="Normal 76 2" xfId="370" xr:uid="{00000000-0005-0000-0000-000072010000}"/>
    <cellStyle name="Normal 76 3" xfId="371" xr:uid="{00000000-0005-0000-0000-000073010000}"/>
    <cellStyle name="Normal 77" xfId="372" xr:uid="{00000000-0005-0000-0000-000074010000}"/>
    <cellStyle name="Normal 77 2" xfId="373" xr:uid="{00000000-0005-0000-0000-000075010000}"/>
    <cellStyle name="Normal 77 3" xfId="374" xr:uid="{00000000-0005-0000-0000-000076010000}"/>
    <cellStyle name="Normal 78" xfId="375" xr:uid="{00000000-0005-0000-0000-000077010000}"/>
    <cellStyle name="Normal 78 2" xfId="376" xr:uid="{00000000-0005-0000-0000-000078010000}"/>
    <cellStyle name="Normal 78 3" xfId="377" xr:uid="{00000000-0005-0000-0000-000079010000}"/>
    <cellStyle name="Normal 79" xfId="378" xr:uid="{00000000-0005-0000-0000-00007A010000}"/>
    <cellStyle name="Normal 79 2" xfId="379" xr:uid="{00000000-0005-0000-0000-00007B010000}"/>
    <cellStyle name="Normal 79 3" xfId="380" xr:uid="{00000000-0005-0000-0000-00007C010000}"/>
    <cellStyle name="Normal 8" xfId="381" xr:uid="{00000000-0005-0000-0000-00007D010000}"/>
    <cellStyle name="Normal 8 2" xfId="382" xr:uid="{00000000-0005-0000-0000-00007E010000}"/>
    <cellStyle name="Normal 8 2 2" xfId="383" xr:uid="{00000000-0005-0000-0000-00007F010000}"/>
    <cellStyle name="Normal 8 2 3" xfId="384" xr:uid="{00000000-0005-0000-0000-000080010000}"/>
    <cellStyle name="Normal 8 3" xfId="385" xr:uid="{00000000-0005-0000-0000-000081010000}"/>
    <cellStyle name="Normal 8 4" xfId="695" xr:uid="{00000000-0005-0000-0000-0000B7020000}"/>
    <cellStyle name="Normal 8 5" xfId="610" xr:uid="{00000000-0005-0000-0000-000062020000}"/>
    <cellStyle name="Normal 80" xfId="386" xr:uid="{00000000-0005-0000-0000-000082010000}"/>
    <cellStyle name="Normal 80 2" xfId="387" xr:uid="{00000000-0005-0000-0000-000083010000}"/>
    <cellStyle name="Normal 80 3" xfId="388" xr:uid="{00000000-0005-0000-0000-000084010000}"/>
    <cellStyle name="Normal 81" xfId="389" xr:uid="{00000000-0005-0000-0000-000085010000}"/>
    <cellStyle name="Normal 81 2" xfId="390" xr:uid="{00000000-0005-0000-0000-000086010000}"/>
    <cellStyle name="Normal 81 3" xfId="391" xr:uid="{00000000-0005-0000-0000-000087010000}"/>
    <cellStyle name="Normal 82" xfId="392" xr:uid="{00000000-0005-0000-0000-000088010000}"/>
    <cellStyle name="Normal 82 2" xfId="393" xr:uid="{00000000-0005-0000-0000-000089010000}"/>
    <cellStyle name="Normal 83" xfId="394" xr:uid="{00000000-0005-0000-0000-00008A010000}"/>
    <cellStyle name="Normal 83 2" xfId="395" xr:uid="{00000000-0005-0000-0000-00008B010000}"/>
    <cellStyle name="Normal 84" xfId="396" xr:uid="{00000000-0005-0000-0000-00008C010000}"/>
    <cellStyle name="Normal 84 2" xfId="397" xr:uid="{00000000-0005-0000-0000-00008D010000}"/>
    <cellStyle name="Normal 85" xfId="398" xr:uid="{00000000-0005-0000-0000-00008E010000}"/>
    <cellStyle name="Normal 85 2" xfId="399" xr:uid="{00000000-0005-0000-0000-00008F010000}"/>
    <cellStyle name="Normal 86" xfId="400" xr:uid="{00000000-0005-0000-0000-000090010000}"/>
    <cellStyle name="Normal 86 2" xfId="401" xr:uid="{00000000-0005-0000-0000-000091010000}"/>
    <cellStyle name="Normal 87" xfId="402" xr:uid="{00000000-0005-0000-0000-000092010000}"/>
    <cellStyle name="Normal 87 2" xfId="403" xr:uid="{00000000-0005-0000-0000-000093010000}"/>
    <cellStyle name="Normal 88" xfId="404" xr:uid="{00000000-0005-0000-0000-000094010000}"/>
    <cellStyle name="Normal 89" xfId="405" xr:uid="{00000000-0005-0000-0000-000095010000}"/>
    <cellStyle name="Normal 9" xfId="406" xr:uid="{00000000-0005-0000-0000-000096010000}"/>
    <cellStyle name="Normal 9 2" xfId="407" xr:uid="{00000000-0005-0000-0000-000097010000}"/>
    <cellStyle name="Normal 9 3" xfId="408" xr:uid="{00000000-0005-0000-0000-000098010000}"/>
    <cellStyle name="Normal 9 4" xfId="409" xr:uid="{00000000-0005-0000-0000-000099010000}"/>
    <cellStyle name="Normal 9 5" xfId="696" xr:uid="{00000000-0005-0000-0000-0000B8020000}"/>
    <cellStyle name="Normal 90" xfId="410" xr:uid="{00000000-0005-0000-0000-00009A010000}"/>
    <cellStyle name="Normal 91" xfId="411" xr:uid="{00000000-0005-0000-0000-00009B010000}"/>
    <cellStyle name="Normal 92" xfId="412" xr:uid="{00000000-0005-0000-0000-00009C010000}"/>
    <cellStyle name="Normal 93" xfId="413" xr:uid="{00000000-0005-0000-0000-00009D010000}"/>
    <cellStyle name="Normal 94" xfId="414" xr:uid="{00000000-0005-0000-0000-00009E010000}"/>
    <cellStyle name="Normal 95" xfId="415" xr:uid="{00000000-0005-0000-0000-00009F010000}"/>
    <cellStyle name="Normal 96" xfId="416" xr:uid="{00000000-0005-0000-0000-0000A0010000}"/>
    <cellStyle name="Normal 97" xfId="417" xr:uid="{00000000-0005-0000-0000-0000A1010000}"/>
    <cellStyle name="Normal 98" xfId="418" xr:uid="{00000000-0005-0000-0000-0000A2010000}"/>
    <cellStyle name="Normal 99" xfId="419" xr:uid="{00000000-0005-0000-0000-0000A3010000}"/>
    <cellStyle name="Note 2" xfId="20" xr:uid="{00000000-0005-0000-0000-000014000000}"/>
    <cellStyle name="Note 2 2" xfId="612" xr:uid="{00000000-0005-0000-0000-000064020000}"/>
    <cellStyle name="Note 2 3" xfId="664" xr:uid="{00000000-0005-0000-0000-000098020000}"/>
    <cellStyle name="Note 2 4" xfId="611" xr:uid="{00000000-0005-0000-0000-000063020000}"/>
    <cellStyle name="Note 3" xfId="613" xr:uid="{00000000-0005-0000-0000-000065020000}"/>
    <cellStyle name="Note 3 2" xfId="614" xr:uid="{00000000-0005-0000-0000-000066020000}"/>
    <cellStyle name="Note 3 3" xfId="699" xr:uid="{00000000-0005-0000-0000-0000BB020000}"/>
    <cellStyle name="Note 4" xfId="615" xr:uid="{00000000-0005-0000-0000-000067020000}"/>
    <cellStyle name="Note 4 2" xfId="616" xr:uid="{00000000-0005-0000-0000-000068020000}"/>
    <cellStyle name="Note 5" xfId="617" xr:uid="{00000000-0005-0000-0000-000069020000}"/>
    <cellStyle name="Note 5 2" xfId="618" xr:uid="{00000000-0005-0000-0000-00006A020000}"/>
    <cellStyle name="Note 6" xfId="619" xr:uid="{00000000-0005-0000-0000-00006B020000}"/>
    <cellStyle name="Note 6 2" xfId="620" xr:uid="{00000000-0005-0000-0000-00006C020000}"/>
    <cellStyle name="Note 7" xfId="621" xr:uid="{00000000-0005-0000-0000-00006D020000}"/>
    <cellStyle name="Note 7 2" xfId="622" xr:uid="{00000000-0005-0000-0000-00006E020000}"/>
    <cellStyle name="Output 2" xfId="623" xr:uid="{00000000-0005-0000-0000-00006F020000}"/>
    <cellStyle name="Page Heading Large" xfId="88" xr:uid="{00000000-0005-0000-0000-000058000000}"/>
    <cellStyle name="Page Heading Small" xfId="89" xr:uid="{00000000-0005-0000-0000-000059000000}"/>
    <cellStyle name="Percent" xfId="421" builtinId="5"/>
    <cellStyle name="Percent ()" xfId="90" xr:uid="{00000000-0005-0000-0000-00005A000000}"/>
    <cellStyle name="Percent (1)" xfId="91" xr:uid="{00000000-0005-0000-0000-00005B000000}"/>
    <cellStyle name="Percent [0]" xfId="92" xr:uid="{00000000-0005-0000-0000-00005C000000}"/>
    <cellStyle name="Percent [2]" xfId="624" xr:uid="{00000000-0005-0000-0000-000070020000}"/>
    <cellStyle name="Percent 10" xfId="640" xr:uid="{00000000-0005-0000-0000-000080020000}"/>
    <cellStyle name="Percent 11" xfId="710" xr:uid="{00000000-0005-0000-0000-0000C6020000}"/>
    <cellStyle name="Percent 12" xfId="708" xr:uid="{00000000-0005-0000-0000-0000C4020000}"/>
    <cellStyle name="Percent 13" xfId="706" xr:uid="{00000000-0005-0000-0000-0000C2020000}"/>
    <cellStyle name="Percent 14" xfId="441" xr:uid="{00000000-0005-0000-0000-0000B9010000}"/>
    <cellStyle name="Percent 2" xfId="4" xr:uid="{00000000-0005-0000-0000-000004000000}"/>
    <cellStyle name="Percent 2 2" xfId="697" xr:uid="{00000000-0005-0000-0000-0000B9020000}"/>
    <cellStyle name="Percent 3" xfId="11" xr:uid="{00000000-0005-0000-0000-00000B000000}"/>
    <cellStyle name="Percent 3 2" xfId="661" xr:uid="{00000000-0005-0000-0000-000095020000}"/>
    <cellStyle name="Percent 3 3" xfId="625" xr:uid="{00000000-0005-0000-0000-000071020000}"/>
    <cellStyle name="Percent 4" xfId="424" xr:uid="{00000000-0005-0000-0000-0000A8010000}"/>
    <cellStyle name="Percent 5" xfId="427" xr:uid="{00000000-0005-0000-0000-0000AB010000}"/>
    <cellStyle name="Percent 6" xfId="431" xr:uid="{00000000-0005-0000-0000-0000AF010000}"/>
    <cellStyle name="Percent 7" xfId="698" xr:uid="{00000000-0005-0000-0000-0000BA020000}"/>
    <cellStyle name="Percent 8" xfId="704" xr:uid="{00000000-0005-0000-0000-0000C0020000}"/>
    <cellStyle name="Percent 9" xfId="444" xr:uid="{00000000-0005-0000-0000-0000BC010000}"/>
    <cellStyle name="Percent Hard" xfId="93" xr:uid="{00000000-0005-0000-0000-00005D000000}"/>
    <cellStyle name="PercentChange" xfId="626" xr:uid="{00000000-0005-0000-0000-000072020000}"/>
    <cellStyle name="Rate" xfId="94" xr:uid="{00000000-0005-0000-0000-00005E000000}"/>
    <cellStyle name="RatioX" xfId="627" xr:uid="{00000000-0005-0000-0000-000073020000}"/>
    <cellStyle name="ScripFactor" xfId="628" xr:uid="{00000000-0005-0000-0000-000074020000}"/>
    <cellStyle name="SectionHeading" xfId="629" xr:uid="{00000000-0005-0000-0000-000075020000}"/>
    <cellStyle name="Shaded" xfId="95" xr:uid="{00000000-0005-0000-0000-00005F000000}"/>
    <cellStyle name="Shares" xfId="96" xr:uid="{00000000-0005-0000-0000-000060000000}"/>
    <cellStyle name="Standard_Ergebnis" xfId="97" xr:uid="{00000000-0005-0000-0000-000061000000}"/>
    <cellStyle name="Style 1" xfId="638" xr:uid="{00000000-0005-0000-0000-00007E020000}"/>
    <cellStyle name="Table Coil Head" xfId="98" xr:uid="{00000000-0005-0000-0000-000062000000}"/>
    <cellStyle name="Table Col Head" xfId="99" xr:uid="{00000000-0005-0000-0000-000063000000}"/>
    <cellStyle name="Table Sub Head" xfId="100" xr:uid="{00000000-0005-0000-0000-000064000000}"/>
    <cellStyle name="Table Title" xfId="101" xr:uid="{00000000-0005-0000-0000-000065000000}"/>
    <cellStyle name="Table Units" xfId="102" xr:uid="{00000000-0005-0000-0000-000066000000}"/>
    <cellStyle name="Text (centered)" xfId="103" xr:uid="{00000000-0005-0000-0000-000067000000}"/>
    <cellStyle name="Title 2" xfId="420" xr:uid="{00000000-0005-0000-0000-0000A4010000}"/>
    <cellStyle name="Title 3" xfId="655" xr:uid="{00000000-0005-0000-0000-00008F020000}"/>
    <cellStyle name="Titles" xfId="630" xr:uid="{00000000-0005-0000-0000-000076020000}"/>
    <cellStyle name="Total 2" xfId="631" xr:uid="{00000000-0005-0000-0000-000077020000}"/>
    <cellStyle name="Twodig" xfId="104" xr:uid="{00000000-0005-0000-0000-000068000000}"/>
    <cellStyle name="Währung [0]_Ergebnis" xfId="105" xr:uid="{00000000-0005-0000-0000-000069000000}"/>
    <cellStyle name="Währung_Ergebnis" xfId="106" xr:uid="{00000000-0005-0000-0000-00006A000000}"/>
    <cellStyle name="Warning Text 2" xfId="632" xr:uid="{00000000-0005-0000-0000-000078020000}"/>
    <cellStyle name="Year" xfId="107" xr:uid="{00000000-0005-0000-0000-00006B000000}"/>
  </cellStyles>
  <dxfs count="154">
    <dxf>
      <fill>
        <patternFill patternType="solid">
          <fgColor rgb="FF00B050"/>
          <bgColor rgb="FF000000"/>
        </patternFill>
      </fill>
    </dxf>
    <dxf>
      <font>
        <color theme="0"/>
      </font>
    </dxf>
    <dxf>
      <font>
        <color theme="0"/>
      </font>
    </dxf>
    <dxf>
      <numFmt numFmtId="166" formatCode="#,##0.0"/>
    </dxf>
    <dxf>
      <numFmt numFmtId="3" formatCode="#,##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0691854609822"/>
      </font>
    </dxf>
    <dxf>
      <font>
        <color theme="0" tint="-0.14990691854609822"/>
      </font>
    </dxf>
    <dxf>
      <font>
        <color theme="0"/>
      </font>
    </dxf>
    <dxf>
      <font>
        <color theme="0" tint="-0.1499069185460982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069185460982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14990691854609822"/>
        </patternFill>
      </fill>
    </dxf>
    <dxf>
      <font>
        <color theme="0"/>
      </font>
    </dxf>
    <dxf>
      <font>
        <color theme="0"/>
      </font>
    </dxf>
    <dxf>
      <numFmt numFmtId="166" formatCode="#,##0.0"/>
    </dxf>
    <dxf>
      <numFmt numFmtId="3" formatCode="#,##0"/>
    </dxf>
    <dxf>
      <numFmt numFmtId="166" formatCode="#,##0.0"/>
    </dxf>
    <dxf>
      <numFmt numFmtId="3" formatCode="#,##0"/>
    </dxf>
    <dxf>
      <font>
        <color theme="0"/>
      </font>
    </dxf>
    <dxf>
      <font>
        <color theme="0"/>
      </font>
    </dxf>
    <dxf>
      <numFmt numFmtId="166" formatCode="#,##0.0"/>
    </dxf>
    <dxf>
      <numFmt numFmtId="3" formatCode="#,##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#,##0.0"/>
    </dxf>
    <dxf>
      <numFmt numFmtId="3" formatCode="#,##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#,##0.0"/>
    </dxf>
    <dxf>
      <numFmt numFmtId="3" formatCode="#,##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1499069185460982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482600</xdr:colOff>
          <xdr:row>4</xdr:row>
          <xdr:rowOff>12700</xdr:rowOff>
        </xdr:from>
        <xdr:to>
          <xdr:col>8</xdr:col>
          <xdr:colOff>12700</xdr:colOff>
          <xdr:row>4</xdr:row>
          <xdr:rowOff>203200</xdr:rowOff>
        </xdr:to>
        <xdr:sp macro="" textlink="">
          <xdr:nvSpPr>
            <xdr:cNvPr id="11272" name="Button 1032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0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B238"/>
  <sheetViews>
    <sheetView tabSelected="1" topLeftCell="A4" zoomScaleNormal="100" workbookViewId="0">
      <selection activeCell="E13" sqref="E13"/>
    </sheetView>
  </sheetViews>
  <sheetFormatPr baseColWidth="10" defaultColWidth="9.1640625" defaultRowHeight="15" outlineLevelCol="1"/>
  <cols>
    <col min="1" max="1" width="2.1640625" style="750" customWidth="1"/>
    <col min="2" max="2" width="9.6640625" style="750" customWidth="1"/>
    <col min="3" max="8" width="9.5" style="750" customWidth="1"/>
    <col min="9" max="9" width="1.1640625" style="750" customWidth="1"/>
    <col min="10" max="10" width="1.5" style="750" customWidth="1"/>
    <col min="11" max="11" width="2" style="750" customWidth="1"/>
    <col min="12" max="12" width="1.5" style="750" customWidth="1"/>
    <col min="13" max="13" width="1.33203125" style="750" customWidth="1"/>
    <col min="14" max="14" width="2.1640625" style="750" customWidth="1"/>
    <col min="15" max="15" width="6.1640625" style="750" customWidth="1"/>
    <col min="16" max="23" width="9.6640625" style="750" customWidth="1"/>
    <col min="24" max="25" width="6.1640625" style="750" customWidth="1"/>
    <col min="26" max="33" width="9.6640625" style="750" customWidth="1"/>
    <col min="34" max="34" width="6.1640625" style="750" customWidth="1"/>
    <col min="35" max="35" width="9" style="750" customWidth="1"/>
    <col min="36" max="36" width="8.5" style="623" hidden="1" customWidth="1"/>
    <col min="37" max="47" width="8.5" style="750" hidden="1" customWidth="1"/>
    <col min="48" max="49" width="13" style="750" hidden="1" customWidth="1"/>
    <col min="50" max="133" width="13" style="750" hidden="1" customWidth="1" outlineLevel="1"/>
    <col min="134" max="134" width="2.83203125" style="750" hidden="1" customWidth="1" collapsed="1"/>
    <col min="135" max="158" width="9.6640625" style="750" customWidth="1"/>
    <col min="159" max="160" width="9.1640625" style="750" customWidth="1"/>
    <col min="161" max="16384" width="9.1640625" style="750"/>
  </cols>
  <sheetData>
    <row r="1" spans="1:72" ht="15.75" hidden="1" customHeight="1">
      <c r="A1" s="622" t="s">
        <v>0</v>
      </c>
      <c r="B1" s="17"/>
      <c r="C1" s="17"/>
      <c r="D1" s="17"/>
      <c r="E1" s="17"/>
      <c r="F1" s="17"/>
      <c r="G1" s="17"/>
    </row>
    <row r="2" spans="1:72" ht="16.5" hidden="1" customHeight="1">
      <c r="B2" s="599" t="e">
        <f t="array" aca="1" ref="B2" ca="1">UPPER(INDIRECT($A$1&amp;"!B2"))</f>
        <v>#REF!</v>
      </c>
      <c r="C2" s="600" t="e">
        <f t="array" aca="1" ref="C2" ca="1">" "&amp;IF(INDIRECT(A1&amp;"!AM3")="No",INDIRECT(A1&amp;"!BN1"),IF(INDIRECT(A1&amp;"!AM3")="Yes",INDIRECT(A1&amp;"!BN2"),INDIRECT(A1&amp;"!BN1")))</f>
        <v>#REF!</v>
      </c>
      <c r="E2" s="17"/>
      <c r="F2" s="17"/>
      <c r="G2" s="17"/>
    </row>
    <row r="3" spans="1:72" hidden="1">
      <c r="B3" s="624" t="s">
        <v>1</v>
      </c>
      <c r="C3" s="230" t="e">
        <f t="array" aca="1" ref="C3" ca="1">IF(INDIRECT($A$1&amp;"!AM3")="No",INDIRECT($A$1&amp;"!BR1"),IF(INDIRECT($A$1&amp;"!AM3")="Yes",INDIRECT($A$1&amp;"!BR2"),INDIRECT($A$1&amp;"!BR1")))</f>
        <v>#REF!</v>
      </c>
      <c r="D3" s="624" t="s">
        <v>2</v>
      </c>
      <c r="E3" s="623" t="e">
        <f t="array" aca="1" ref="E3" ca="1">IF(INDIRECT($A$1&amp;"!AM3")="No",INDIRECT($A$1&amp;"!BU1"),IF(INDIRECT($A$1&amp;"!AM3")="Yes",INDIRECT($A$1&amp;"!BU2"),INDIRECT($A$1&amp;"!BU1")))</f>
        <v>#REF!</v>
      </c>
      <c r="F3" s="624" t="s">
        <v>3</v>
      </c>
      <c r="G3" s="769" t="e">
        <f t="array" aca="1" ref="G3" ca="1">IF(INDIRECT($A$1&amp;"!AM3")="No",INDIRECT($A$1&amp;"!CD1"),IF(INDIRECT($A$1&amp;"!AM3")="Yes",INDIRECT($A$1&amp;"!CD2"),INDIRECT($A$1&amp;"!CD1")))</f>
        <v>#REF!</v>
      </c>
      <c r="I3" s="624"/>
      <c r="J3" s="230"/>
      <c r="K3" s="624"/>
      <c r="L3" s="624"/>
      <c r="M3" s="769"/>
    </row>
    <row r="4" spans="1:72" ht="16" customHeight="1" thickBot="1"/>
    <row r="5" spans="1:72" ht="16" customHeight="1" thickBot="1">
      <c r="B5" s="1029"/>
      <c r="C5" s="1030"/>
      <c r="D5" s="625" t="e">
        <f t="array" aca="1" ref="D5" ca="1">_xll.BDP(B5&amp;" equity","long comp name")</f>
        <v>#NAME?</v>
      </c>
    </row>
    <row r="6" spans="1:72">
      <c r="B6" s="743"/>
      <c r="C6" s="742" t="s">
        <v>1</v>
      </c>
      <c r="D6" s="623" t="e">
        <f t="array" aca="1" ref="D6" ca="1">_xll.BDP(B5&amp;" EQUITY","UD PRIMARY ANALYST")</f>
        <v>#NAME?</v>
      </c>
      <c r="E6" s="624" t="s">
        <v>2</v>
      </c>
      <c r="F6" s="623" t="e">
        <f t="array" aca="1" ref="F6" ca="1">_xll.BDP(B5&amp;" equity","ud secondary analyst")</f>
        <v>#NAME?</v>
      </c>
      <c r="G6" s="624" t="s">
        <v>3</v>
      </c>
    </row>
    <row r="7" spans="1:72" ht="16" customHeight="1">
      <c r="B7" s="1022"/>
      <c r="C7" s="1022"/>
      <c r="D7" s="1022"/>
      <c r="E7" s="1022"/>
      <c r="F7" s="1022"/>
      <c r="G7" s="1022"/>
      <c r="H7" s="1022"/>
      <c r="I7" s="1022"/>
      <c r="J7" s="1022"/>
      <c r="K7" s="1022"/>
      <c r="L7" s="1022"/>
      <c r="M7" s="1022"/>
      <c r="V7" s="744"/>
    </row>
    <row r="8" spans="1:72" ht="14.25" customHeight="1">
      <c r="B8" s="1022"/>
      <c r="C8" s="1022"/>
      <c r="D8" s="1022"/>
      <c r="E8" s="1022"/>
      <c r="F8" s="1022"/>
      <c r="G8" s="1022"/>
      <c r="H8" s="1022"/>
      <c r="I8" s="1022"/>
      <c r="J8" s="1022"/>
      <c r="K8" s="1022"/>
      <c r="L8" s="1022"/>
      <c r="M8" s="1022"/>
      <c r="O8" s="1057" t="s">
        <v>4</v>
      </c>
      <c r="P8" s="1051"/>
      <c r="Q8" s="1058" t="e">
        <f>SUM(50,(SUM(AI61:AI63,AI65:AI67,AI69:AI71,AI73:AI75,AI77:AI79,AI81:AI83,AI85:AI87,AI89:AI91,AI93:AI95,AI97:AI99,AI101:AI103,AI105:AI107,AI109:AI111,AI113:AI115,AI117:AI119,AI121:AI123,AI125:AI127,AI129:AI131,AI133:AI135,AI137:AI139)/10))/10</f>
        <v>#NAME?</v>
      </c>
      <c r="R8" s="1051"/>
      <c r="T8" s="678"/>
      <c r="U8" s="678"/>
      <c r="AJ8" s="625" t="s">
        <v>5</v>
      </c>
    </row>
    <row r="9" spans="1:72" ht="14.25" customHeight="1">
      <c r="B9" s="1022"/>
      <c r="C9" s="1022"/>
      <c r="D9" s="1022"/>
      <c r="E9" s="1022"/>
      <c r="F9" s="1022"/>
      <c r="G9" s="1022"/>
      <c r="H9" s="1022"/>
      <c r="I9" s="1022"/>
      <c r="J9" s="1022"/>
      <c r="K9" s="1022"/>
      <c r="L9" s="1022"/>
      <c r="M9" s="1022"/>
      <c r="O9" s="1037" t="s">
        <v>7</v>
      </c>
      <c r="P9" s="1042"/>
      <c r="Q9" s="1042"/>
      <c r="R9" s="1042"/>
      <c r="S9" s="1042"/>
      <c r="T9" s="1042"/>
      <c r="U9" s="1042"/>
      <c r="V9" s="1042"/>
      <c r="W9" s="1043"/>
      <c r="X9" s="1021"/>
      <c r="Y9" s="1037" t="s">
        <v>8</v>
      </c>
      <c r="Z9" s="1042"/>
      <c r="AA9" s="1042"/>
      <c r="AB9" s="1042"/>
      <c r="AC9" s="1042"/>
      <c r="AD9" s="1042"/>
      <c r="AE9" s="1042"/>
      <c r="AF9" s="1042"/>
      <c r="AG9" s="1043"/>
      <c r="AH9" s="1021"/>
      <c r="AJ9" s="1036" t="s">
        <v>9</v>
      </c>
      <c r="AK9" s="1028"/>
      <c r="AL9" s="1046"/>
      <c r="AM9" s="1027"/>
      <c r="AN9" s="1027"/>
      <c r="AO9" s="1027"/>
      <c r="AP9" s="1027"/>
      <c r="AQ9" s="1027"/>
      <c r="AR9" s="1027"/>
      <c r="AS9" s="1027"/>
      <c r="AT9" s="1027"/>
      <c r="AU9" s="1028"/>
      <c r="AX9" s="626" t="e">
        <f>Q8</f>
        <v>#NAME?</v>
      </c>
      <c r="AY9" s="627" t="s">
        <v>10</v>
      </c>
      <c r="AZ9" s="628">
        <f>X9</f>
        <v>0</v>
      </c>
      <c r="BA9" s="627" t="s">
        <v>11</v>
      </c>
      <c r="BB9" s="628">
        <f>X14</f>
        <v>0</v>
      </c>
      <c r="BC9" s="627" t="s">
        <v>12</v>
      </c>
      <c r="BD9" s="628">
        <f>X19</f>
        <v>0</v>
      </c>
      <c r="BE9" s="627" t="s">
        <v>13</v>
      </c>
      <c r="BF9" s="628">
        <f>X24</f>
        <v>0</v>
      </c>
      <c r="BG9" s="627" t="s">
        <v>14</v>
      </c>
      <c r="BH9" s="628">
        <f>X29</f>
        <v>0</v>
      </c>
      <c r="BI9" s="627" t="s">
        <v>15</v>
      </c>
      <c r="BJ9" s="628">
        <f>X34</f>
        <v>0</v>
      </c>
      <c r="BK9" s="627" t="s">
        <v>16</v>
      </c>
      <c r="BL9" s="628">
        <f>X39</f>
        <v>0</v>
      </c>
      <c r="BM9" s="627" t="s">
        <v>17</v>
      </c>
      <c r="BN9" s="628">
        <f>X44</f>
        <v>0</v>
      </c>
      <c r="BO9" s="627" t="s">
        <v>18</v>
      </c>
      <c r="BP9" s="628">
        <f>X49</f>
        <v>0</v>
      </c>
      <c r="BQ9" s="627" t="s">
        <v>19</v>
      </c>
      <c r="BR9" s="628">
        <f>X54</f>
        <v>0</v>
      </c>
    </row>
    <row r="10" spans="1:72" ht="15" customHeight="1">
      <c r="B10" s="1022"/>
      <c r="C10" s="1022"/>
      <c r="D10" s="1022"/>
      <c r="E10" s="1022"/>
      <c r="F10" s="1022"/>
      <c r="G10" s="1022"/>
      <c r="H10" s="1022"/>
      <c r="I10" s="1022"/>
      <c r="J10" s="1022"/>
      <c r="K10" s="1022"/>
      <c r="L10" s="1022"/>
      <c r="M10" s="1022"/>
      <c r="O10" s="629" t="s">
        <v>21</v>
      </c>
      <c r="P10" s="1023"/>
      <c r="Q10" s="1024"/>
      <c r="R10" s="1024"/>
      <c r="S10" s="1024"/>
      <c r="T10" s="1024"/>
      <c r="U10" s="1024"/>
      <c r="V10" s="1024"/>
      <c r="W10" s="1025"/>
      <c r="X10" s="1021"/>
      <c r="Y10" s="629" t="s">
        <v>21</v>
      </c>
      <c r="Z10" s="1023"/>
      <c r="AA10" s="1024"/>
      <c r="AB10" s="1024"/>
      <c r="AC10" s="1024"/>
      <c r="AD10" s="1024"/>
      <c r="AE10" s="1024"/>
      <c r="AF10" s="1024"/>
      <c r="AG10" s="1025"/>
      <c r="AH10" s="1021"/>
      <c r="AJ10" s="1036" t="s">
        <v>22</v>
      </c>
      <c r="AK10" s="1028"/>
      <c r="AL10" s="1046"/>
      <c r="AM10" s="1027"/>
      <c r="AN10" s="1027"/>
      <c r="AO10" s="1027"/>
      <c r="AP10" s="1027"/>
      <c r="AQ10" s="1027"/>
      <c r="AR10" s="1027"/>
      <c r="AS10" s="1027"/>
      <c r="AT10" s="1027"/>
      <c r="AU10" s="1028"/>
      <c r="AX10" s="631"/>
      <c r="AY10" s="631" t="s">
        <v>23</v>
      </c>
      <c r="AZ10" s="632">
        <f>AH9</f>
        <v>0</v>
      </c>
      <c r="BA10" s="631" t="s">
        <v>24</v>
      </c>
      <c r="BB10" s="632">
        <f>AH14</f>
        <v>0</v>
      </c>
      <c r="BC10" s="631" t="s">
        <v>25</v>
      </c>
      <c r="BD10" s="632">
        <f>AH19</f>
        <v>0</v>
      </c>
      <c r="BE10" s="631" t="s">
        <v>26</v>
      </c>
      <c r="BF10" s="632">
        <f>AH24</f>
        <v>0</v>
      </c>
      <c r="BG10" s="631" t="s">
        <v>27</v>
      </c>
      <c r="BH10" s="632">
        <f>AH29</f>
        <v>0</v>
      </c>
      <c r="BI10" s="631" t="s">
        <v>28</v>
      </c>
      <c r="BJ10" s="632">
        <f>AH34</f>
        <v>0</v>
      </c>
      <c r="BK10" s="631" t="s">
        <v>29</v>
      </c>
      <c r="BL10" s="632">
        <f>AH39</f>
        <v>0</v>
      </c>
      <c r="BM10" s="631" t="s">
        <v>30</v>
      </c>
      <c r="BN10" s="632">
        <f>AH44</f>
        <v>0</v>
      </c>
      <c r="BO10" s="631" t="s">
        <v>31</v>
      </c>
      <c r="BP10" s="632">
        <f>AH49</f>
        <v>0</v>
      </c>
      <c r="BQ10" s="631" t="s">
        <v>32</v>
      </c>
      <c r="BR10" s="632">
        <f>AH54</f>
        <v>0</v>
      </c>
    </row>
    <row r="11" spans="1:72" ht="15" customHeight="1">
      <c r="B11" s="1022"/>
      <c r="C11" s="1022"/>
      <c r="D11" s="1022"/>
      <c r="E11" s="1022"/>
      <c r="F11" s="1022"/>
      <c r="G11" s="1022"/>
      <c r="H11" s="1022"/>
      <c r="I11" s="1022"/>
      <c r="J11" s="1022"/>
      <c r="K11" s="1022"/>
      <c r="L11" s="1022"/>
      <c r="M11" s="1022"/>
      <c r="O11" s="629" t="s">
        <v>21</v>
      </c>
      <c r="P11" s="1023"/>
      <c r="Q11" s="1024"/>
      <c r="R11" s="1024"/>
      <c r="S11" s="1024"/>
      <c r="T11" s="1024"/>
      <c r="U11" s="1024"/>
      <c r="V11" s="1024"/>
      <c r="W11" s="1025"/>
      <c r="X11" s="1021"/>
      <c r="Y11" s="629" t="s">
        <v>21</v>
      </c>
      <c r="Z11" s="1023"/>
      <c r="AA11" s="1024"/>
      <c r="AB11" s="1024"/>
      <c r="AC11" s="1024"/>
      <c r="AD11" s="1024"/>
      <c r="AE11" s="1024"/>
      <c r="AF11" s="1024"/>
      <c r="AG11" s="1025"/>
      <c r="AH11" s="1021"/>
      <c r="AJ11" s="1036" t="s">
        <v>34</v>
      </c>
      <c r="AK11" s="1028"/>
      <c r="AL11" s="1046"/>
      <c r="AM11" s="1027"/>
      <c r="AN11" s="1027"/>
      <c r="AO11" s="1027"/>
      <c r="AP11" s="1027"/>
      <c r="AQ11" s="1027"/>
      <c r="AR11" s="1027"/>
      <c r="AS11" s="1027"/>
      <c r="AT11" s="1027"/>
      <c r="AU11" s="1028"/>
    </row>
    <row r="12" spans="1:72" ht="15" customHeight="1">
      <c r="B12" s="1022"/>
      <c r="C12" s="1022"/>
      <c r="D12" s="1022"/>
      <c r="E12" s="1022"/>
      <c r="F12" s="1022"/>
      <c r="G12" s="1022"/>
      <c r="H12" s="1022"/>
      <c r="I12" s="1022"/>
      <c r="J12" s="1022"/>
      <c r="K12" s="1022"/>
      <c r="L12" s="1022"/>
      <c r="M12" s="1022"/>
      <c r="O12" s="680" t="s">
        <v>21</v>
      </c>
      <c r="P12" s="1039"/>
      <c r="Q12" s="1040"/>
      <c r="R12" s="1040"/>
      <c r="S12" s="1040"/>
      <c r="T12" s="1040"/>
      <c r="U12" s="1040"/>
      <c r="V12" s="1040"/>
      <c r="W12" s="1041"/>
      <c r="X12" s="1021"/>
      <c r="Y12" s="629" t="s">
        <v>21</v>
      </c>
      <c r="Z12" s="1023"/>
      <c r="AA12" s="1024"/>
      <c r="AB12" s="1024"/>
      <c r="AC12" s="1024"/>
      <c r="AD12" s="1024"/>
      <c r="AE12" s="1024"/>
      <c r="AF12" s="1024"/>
      <c r="AG12" s="1025"/>
      <c r="AH12" s="1021"/>
      <c r="AJ12" s="1036" t="s">
        <v>35</v>
      </c>
      <c r="AK12" s="1028"/>
      <c r="AL12" s="1046"/>
      <c r="AM12" s="1027"/>
      <c r="AN12" s="1027"/>
      <c r="AO12" s="1027"/>
      <c r="AP12" s="1027"/>
      <c r="AQ12" s="1027"/>
      <c r="AR12" s="1027"/>
      <c r="AS12" s="1027"/>
      <c r="AT12" s="1027"/>
      <c r="AU12" s="1028"/>
    </row>
    <row r="13" spans="1:72" ht="15" customHeight="1">
      <c r="B13" s="1022"/>
      <c r="C13" s="1022"/>
      <c r="D13" s="1022"/>
      <c r="E13" s="1022"/>
      <c r="F13" s="1022"/>
      <c r="G13" s="1022"/>
      <c r="H13" s="1022"/>
      <c r="I13" s="1022"/>
      <c r="J13" s="1022"/>
      <c r="K13" s="1022"/>
      <c r="L13" s="1022"/>
      <c r="M13" s="1022"/>
      <c r="O13" s="755"/>
      <c r="P13" s="1032"/>
      <c r="Q13" s="1056"/>
      <c r="R13" s="1056"/>
      <c r="S13" s="1056"/>
      <c r="T13" s="1056"/>
      <c r="U13" s="1056"/>
      <c r="V13" s="1056"/>
      <c r="W13" s="1056"/>
      <c r="X13" s="755"/>
      <c r="Y13" s="755"/>
      <c r="Z13" s="755"/>
      <c r="AA13" s="755"/>
      <c r="AB13" s="755"/>
      <c r="AC13" s="755"/>
      <c r="AD13" s="755"/>
      <c r="AE13" s="755"/>
      <c r="AF13" s="755"/>
      <c r="AG13" s="755"/>
      <c r="AH13" s="755"/>
      <c r="AJ13" s="750"/>
    </row>
    <row r="14" spans="1:72" ht="15" customHeight="1">
      <c r="B14" s="1022"/>
      <c r="C14" s="1022"/>
      <c r="D14" s="1022"/>
      <c r="E14" s="1022"/>
      <c r="F14" s="1022"/>
      <c r="G14" s="1022"/>
      <c r="H14" s="1022"/>
      <c r="I14" s="1022"/>
      <c r="J14" s="1022"/>
      <c r="K14" s="1022"/>
      <c r="L14" s="1022"/>
      <c r="M14" s="1022"/>
      <c r="O14" s="1037" t="s">
        <v>37</v>
      </c>
      <c r="P14" s="1042"/>
      <c r="Q14" s="1042"/>
      <c r="R14" s="1042"/>
      <c r="S14" s="1042"/>
      <c r="T14" s="1042"/>
      <c r="U14" s="1042"/>
      <c r="V14" s="1042"/>
      <c r="W14" s="1043"/>
      <c r="X14" s="1021"/>
      <c r="Y14" s="1037" t="s">
        <v>38</v>
      </c>
      <c r="Z14" s="1042"/>
      <c r="AA14" s="1042"/>
      <c r="AB14" s="1042"/>
      <c r="AC14" s="1042"/>
      <c r="AD14" s="1042"/>
      <c r="AE14" s="1042"/>
      <c r="AF14" s="1042"/>
      <c r="AG14" s="1043"/>
      <c r="AH14" s="1021"/>
      <c r="AJ14" s="1045"/>
      <c r="AK14" s="1028"/>
      <c r="AL14" s="1045"/>
      <c r="AM14" s="1028"/>
      <c r="AN14" s="1045"/>
      <c r="AO14" s="1028"/>
      <c r="AP14" s="1045"/>
      <c r="AQ14" s="1028"/>
      <c r="AR14" s="1045"/>
      <c r="AS14" s="1028"/>
      <c r="AT14" s="1045"/>
      <c r="AU14" s="1028"/>
      <c r="AX14" s="633"/>
      <c r="AY14" s="634"/>
      <c r="AZ14" s="635" t="s">
        <v>39</v>
      </c>
      <c r="BA14" s="635" t="s">
        <v>39</v>
      </c>
      <c r="BB14" s="635" t="s">
        <v>39</v>
      </c>
      <c r="BC14" s="635" t="s">
        <v>39</v>
      </c>
      <c r="BD14" s="635" t="s">
        <v>39</v>
      </c>
      <c r="BE14" s="635" t="s">
        <v>39</v>
      </c>
      <c r="BF14" s="635" t="s">
        <v>39</v>
      </c>
      <c r="BG14" s="636" t="s">
        <v>40</v>
      </c>
      <c r="BH14" s="636" t="s">
        <v>41</v>
      </c>
      <c r="BI14" s="636" t="s">
        <v>42</v>
      </c>
      <c r="BJ14" s="636" t="s">
        <v>43</v>
      </c>
      <c r="BK14" s="636" t="s">
        <v>44</v>
      </c>
      <c r="BL14" s="636" t="s">
        <v>45</v>
      </c>
      <c r="BM14" s="636" t="s">
        <v>46</v>
      </c>
      <c r="BN14" s="636" t="s">
        <v>47</v>
      </c>
      <c r="BO14" s="636" t="s">
        <v>48</v>
      </c>
      <c r="BP14" s="636" t="s">
        <v>49</v>
      </c>
      <c r="BQ14" s="636" t="s">
        <v>50</v>
      </c>
      <c r="BR14" s="636" t="s">
        <v>51</v>
      </c>
      <c r="BS14" s="636" t="s">
        <v>52</v>
      </c>
      <c r="BT14" s="637" t="s">
        <v>53</v>
      </c>
    </row>
    <row r="15" spans="1:72" ht="15" customHeight="1">
      <c r="B15" s="1022"/>
      <c r="C15" s="1022"/>
      <c r="D15" s="1022"/>
      <c r="E15" s="1022"/>
      <c r="F15" s="1022"/>
      <c r="G15" s="1022"/>
      <c r="H15" s="1022"/>
      <c r="I15" s="1022"/>
      <c r="J15" s="1022"/>
      <c r="K15" s="1022"/>
      <c r="L15" s="1022"/>
      <c r="M15" s="1022"/>
      <c r="O15" s="629" t="s">
        <v>21</v>
      </c>
      <c r="P15" s="1023"/>
      <c r="Q15" s="1024"/>
      <c r="R15" s="1024"/>
      <c r="S15" s="1024"/>
      <c r="T15" s="1024"/>
      <c r="U15" s="1024"/>
      <c r="V15" s="1024"/>
      <c r="W15" s="1025"/>
      <c r="X15" s="1021"/>
      <c r="Y15" s="629" t="s">
        <v>21</v>
      </c>
      <c r="Z15" s="1023"/>
      <c r="AA15" s="1024"/>
      <c r="AB15" s="1024"/>
      <c r="AC15" s="1024"/>
      <c r="AD15" s="1024"/>
      <c r="AE15" s="1024"/>
      <c r="AF15" s="1024"/>
      <c r="AG15" s="1025"/>
      <c r="AH15" s="1021"/>
      <c r="AJ15" s="750"/>
      <c r="AX15" s="638" t="s">
        <v>54</v>
      </c>
      <c r="AY15" s="638" t="s">
        <v>55</v>
      </c>
      <c r="AZ15" s="639" t="str">
        <f ca="1">IF(INDIRECT(BG15)="SEGMENT",INDIRECT(BH15),"")</f>
        <v/>
      </c>
      <c r="BA15" s="640" t="str">
        <f ca="1">IF(INDIRECT(BI15)="SEGMENT",INDIRECT(BJ15),"")</f>
        <v/>
      </c>
      <c r="BB15" s="640" t="str">
        <f ca="1">IF(INDIRECT(BK15)="SEGMENT",INDIRECT(BL15),"")</f>
        <v/>
      </c>
      <c r="BC15" s="640" t="str">
        <f ca="1">IF(INDIRECT(BM15)="SEGMENT",INDIRECT(BN15),"")</f>
        <v/>
      </c>
      <c r="BD15" s="640" t="str">
        <f ca="1">IF(INDIRECT(BO15)="SEGMENT",INDIRECT(BP15),"")</f>
        <v/>
      </c>
      <c r="BE15" s="640" t="str">
        <f ca="1">IF(INDIRECT(BQ15)="SEGMENT",INDIRECT(BR15),"")</f>
        <v/>
      </c>
      <c r="BF15" s="641" t="str">
        <f ca="1">IF(INDIRECT(BS15)="SEGMENT",INDIRECT(BT15),"")</f>
        <v/>
      </c>
      <c r="BG15" s="642" t="s">
        <v>56</v>
      </c>
      <c r="BH15" s="642" t="s">
        <v>57</v>
      </c>
      <c r="BI15" s="642" t="s">
        <v>58</v>
      </c>
      <c r="BJ15" s="642" t="s">
        <v>59</v>
      </c>
      <c r="BK15" s="642" t="s">
        <v>60</v>
      </c>
      <c r="BL15" s="642" t="s">
        <v>61</v>
      </c>
      <c r="BM15" s="642" t="s">
        <v>62</v>
      </c>
      <c r="BN15" s="642" t="s">
        <v>63</v>
      </c>
      <c r="BO15" s="642" t="s">
        <v>64</v>
      </c>
      <c r="BP15" s="642" t="s">
        <v>65</v>
      </c>
      <c r="BQ15" s="642" t="s">
        <v>66</v>
      </c>
      <c r="BR15" s="642" t="s">
        <v>67</v>
      </c>
      <c r="BS15" s="642" t="s">
        <v>68</v>
      </c>
      <c r="BT15" s="643" t="s">
        <v>69</v>
      </c>
    </row>
    <row r="16" spans="1:72" ht="15" customHeight="1">
      <c r="B16" s="1022"/>
      <c r="C16" s="1022"/>
      <c r="D16" s="1022"/>
      <c r="E16" s="1022"/>
      <c r="F16" s="1022"/>
      <c r="G16" s="1022"/>
      <c r="H16" s="1022"/>
      <c r="I16" s="1022"/>
      <c r="J16" s="1022"/>
      <c r="K16" s="1022"/>
      <c r="L16" s="1022"/>
      <c r="M16" s="1022"/>
      <c r="O16" s="680" t="s">
        <v>21</v>
      </c>
      <c r="P16" s="1059"/>
      <c r="Q16" s="1060"/>
      <c r="R16" s="1060"/>
      <c r="S16" s="1060"/>
      <c r="T16" s="1060"/>
      <c r="U16" s="1060"/>
      <c r="V16" s="1060"/>
      <c r="W16" s="1061"/>
      <c r="X16" s="1021"/>
      <c r="Y16" s="629" t="s">
        <v>21</v>
      </c>
      <c r="Z16" s="1023"/>
      <c r="AA16" s="1024"/>
      <c r="AB16" s="1024"/>
      <c r="AC16" s="1024"/>
      <c r="AD16" s="1024"/>
      <c r="AE16" s="1024"/>
      <c r="AF16" s="1024"/>
      <c r="AG16" s="1025"/>
      <c r="AH16" s="1021"/>
      <c r="AJ16" s="1062" t="s">
        <v>71</v>
      </c>
      <c r="AK16" s="1027"/>
      <c r="AL16" s="644"/>
      <c r="AM16" s="644"/>
      <c r="AN16" s="644"/>
      <c r="AO16" s="644"/>
      <c r="AP16" s="644"/>
      <c r="AQ16" s="644"/>
      <c r="AR16" s="644"/>
      <c r="AS16" s="644"/>
      <c r="AT16" s="644"/>
      <c r="AU16" s="645"/>
      <c r="AX16" s="633"/>
      <c r="AY16" s="638" t="s">
        <v>6</v>
      </c>
      <c r="AZ16" s="646" t="str">
        <f ca="1">IF(INDIRECT(BG16)="SEGMENT",INDIRECT(BH16),"")</f>
        <v/>
      </c>
      <c r="BA16" s="647" t="str">
        <f ca="1">IF(INDIRECT(BI16)="SEGMENT",INDIRECT(BJ16),"")</f>
        <v/>
      </c>
      <c r="BB16" s="647" t="str">
        <f ca="1">IF(INDIRECT(BK16)="SEGMENT",INDIRECT(BL16),"")</f>
        <v/>
      </c>
      <c r="BC16" s="647" t="str">
        <f ca="1">IF(INDIRECT(BM16)="SEGMENT",INDIRECT(BN16),"")</f>
        <v/>
      </c>
      <c r="BD16" s="647" t="str">
        <f ca="1">IF(INDIRECT(BO16)="SEGMENT",INDIRECT(BP16),"")</f>
        <v/>
      </c>
      <c r="BE16" s="647" t="str">
        <f ca="1">IF(INDIRECT(BQ16)="SEGMENT",INDIRECT(BR16),"")</f>
        <v/>
      </c>
      <c r="BF16" s="648" t="str">
        <f ca="1">IF(INDIRECT(BS16)="SEGMENT",INDIRECT(BT16),"")</f>
        <v/>
      </c>
      <c r="BG16" s="642" t="s">
        <v>56</v>
      </c>
      <c r="BH16" s="642" t="s">
        <v>72</v>
      </c>
      <c r="BI16" s="642" t="s">
        <v>58</v>
      </c>
      <c r="BJ16" s="642" t="s">
        <v>73</v>
      </c>
      <c r="BK16" s="642" t="s">
        <v>60</v>
      </c>
      <c r="BL16" s="642" t="s">
        <v>74</v>
      </c>
      <c r="BM16" s="642" t="s">
        <v>62</v>
      </c>
      <c r="BN16" s="642" t="s">
        <v>75</v>
      </c>
      <c r="BO16" s="642" t="s">
        <v>64</v>
      </c>
      <c r="BP16" s="642" t="s">
        <v>76</v>
      </c>
      <c r="BQ16" s="642" t="s">
        <v>66</v>
      </c>
      <c r="BR16" s="642" t="s">
        <v>77</v>
      </c>
      <c r="BS16" s="642" t="s">
        <v>68</v>
      </c>
      <c r="BT16" s="643" t="s">
        <v>78</v>
      </c>
    </row>
    <row r="17" spans="2:72" ht="15" customHeight="1">
      <c r="B17" s="1022"/>
      <c r="C17" s="1022"/>
      <c r="D17" s="1022"/>
      <c r="E17" s="1022"/>
      <c r="F17" s="1022"/>
      <c r="G17" s="1022"/>
      <c r="H17" s="1022"/>
      <c r="I17" s="1022"/>
      <c r="J17" s="1022"/>
      <c r="K17" s="1022"/>
      <c r="L17" s="1022"/>
      <c r="M17" s="1022"/>
      <c r="O17" s="629" t="s">
        <v>21</v>
      </c>
      <c r="P17" s="1023"/>
      <c r="Q17" s="1024"/>
      <c r="R17" s="1024"/>
      <c r="S17" s="1024"/>
      <c r="T17" s="1024"/>
      <c r="U17" s="1024"/>
      <c r="V17" s="1024"/>
      <c r="W17" s="1025"/>
      <c r="X17" s="1021"/>
      <c r="Y17" s="629" t="s">
        <v>21</v>
      </c>
      <c r="Z17" s="1023"/>
      <c r="AA17" s="1024"/>
      <c r="AB17" s="1024"/>
      <c r="AC17" s="1024"/>
      <c r="AD17" s="1024"/>
      <c r="AE17" s="1024"/>
      <c r="AF17" s="1024"/>
      <c r="AG17" s="1025"/>
      <c r="AH17" s="1021"/>
      <c r="AJ17" s="1047"/>
      <c r="AK17" s="1048"/>
      <c r="AL17" s="1048"/>
      <c r="AM17" s="1048"/>
      <c r="AN17" s="1048"/>
      <c r="AO17" s="1048"/>
      <c r="AP17" s="1048"/>
      <c r="AQ17" s="1048"/>
      <c r="AR17" s="1048"/>
      <c r="AS17" s="1048"/>
      <c r="AT17" s="1048"/>
      <c r="AU17" s="1049"/>
      <c r="AX17" s="633"/>
      <c r="AY17" s="638" t="s">
        <v>20</v>
      </c>
      <c r="AZ17" s="646" t="str">
        <f ca="1">IF(INDIRECT(BG17)="SEGMENT",INDIRECT(BH17),"")</f>
        <v/>
      </c>
      <c r="BA17" s="647" t="str">
        <f ca="1">IF(INDIRECT(BI17)="SEGMENT",INDIRECT(BJ17),"")</f>
        <v/>
      </c>
      <c r="BB17" s="647" t="str">
        <f ca="1">IF(INDIRECT(BK17)="SEGMENT",INDIRECT(BL17),"")</f>
        <v/>
      </c>
      <c r="BC17" s="647" t="str">
        <f ca="1">IF(INDIRECT(BM17)="SEGMENT",INDIRECT(BN17),"")</f>
        <v/>
      </c>
      <c r="BD17" s="647" t="str">
        <f ca="1">IF(INDIRECT(BO17)="SEGMENT",INDIRECT(BP17),"")</f>
        <v/>
      </c>
      <c r="BE17" s="647" t="str">
        <f ca="1">IF(INDIRECT(BQ17)="SEGMENT",INDIRECT(BR17),"")</f>
        <v/>
      </c>
      <c r="BF17" s="648" t="str">
        <f ca="1">IF(INDIRECT(BS17)="SEGMENT",INDIRECT(BT17),"")</f>
        <v/>
      </c>
      <c r="BG17" s="642" t="s">
        <v>56</v>
      </c>
      <c r="BH17" s="642" t="s">
        <v>80</v>
      </c>
      <c r="BI17" s="642" t="s">
        <v>58</v>
      </c>
      <c r="BJ17" s="642" t="s">
        <v>81</v>
      </c>
      <c r="BK17" s="642" t="s">
        <v>60</v>
      </c>
      <c r="BL17" s="642" t="s">
        <v>82</v>
      </c>
      <c r="BM17" s="642" t="s">
        <v>62</v>
      </c>
      <c r="BN17" s="642" t="s">
        <v>83</v>
      </c>
      <c r="BO17" s="642" t="s">
        <v>64</v>
      </c>
      <c r="BP17" s="642" t="s">
        <v>84</v>
      </c>
      <c r="BQ17" s="642" t="s">
        <v>66</v>
      </c>
      <c r="BR17" s="642" t="s">
        <v>85</v>
      </c>
      <c r="BS17" s="642" t="s">
        <v>68</v>
      </c>
      <c r="BT17" s="643" t="s">
        <v>86</v>
      </c>
    </row>
    <row r="18" spans="2:72" ht="15" customHeight="1">
      <c r="B18" s="1022"/>
      <c r="C18" s="1022"/>
      <c r="D18" s="1022"/>
      <c r="E18" s="1022"/>
      <c r="F18" s="1022"/>
      <c r="G18" s="1022"/>
      <c r="H18" s="1022"/>
      <c r="I18" s="1022"/>
      <c r="J18" s="1022"/>
      <c r="K18" s="1022"/>
      <c r="L18" s="1022"/>
      <c r="M18" s="1022"/>
      <c r="O18" s="755"/>
      <c r="P18" s="755"/>
      <c r="Q18" s="755"/>
      <c r="R18" s="755"/>
      <c r="S18" s="755"/>
      <c r="T18" s="755"/>
      <c r="U18" s="755"/>
      <c r="V18" s="755"/>
      <c r="W18" s="755"/>
      <c r="X18" s="95"/>
      <c r="Y18" s="755"/>
      <c r="Z18" s="755"/>
      <c r="AA18" s="755"/>
      <c r="AB18" s="755"/>
      <c r="AC18" s="755"/>
      <c r="AD18" s="755"/>
      <c r="AE18" s="755"/>
      <c r="AF18" s="755"/>
      <c r="AG18" s="755"/>
      <c r="AH18" s="755"/>
      <c r="AJ18" s="1050"/>
      <c r="AK18" s="1051"/>
      <c r="AL18" s="1051"/>
      <c r="AM18" s="1051"/>
      <c r="AN18" s="1051"/>
      <c r="AO18" s="1051"/>
      <c r="AP18" s="1051"/>
      <c r="AQ18" s="1051"/>
      <c r="AR18" s="1051"/>
      <c r="AS18" s="1051"/>
      <c r="AT18" s="1051"/>
      <c r="AU18" s="1052"/>
      <c r="AX18" s="633"/>
      <c r="AY18" s="638" t="s">
        <v>33</v>
      </c>
      <c r="AZ18" s="646" t="str">
        <f ca="1">IF(INDIRECT(BG18)="SEGMENT",INDIRECT(BH18),"")</f>
        <v/>
      </c>
      <c r="BA18" s="647" t="str">
        <f ca="1">IF(INDIRECT(BI18)="SEGMENT",INDIRECT(BJ18),"")</f>
        <v/>
      </c>
      <c r="BB18" s="647" t="str">
        <f ca="1">IF(INDIRECT(BK18)="SEGMENT",INDIRECT(BL18),"")</f>
        <v/>
      </c>
      <c r="BC18" s="647" t="str">
        <f ca="1">IF(INDIRECT(BM18)="SEGMENT",INDIRECT(BN18),"")</f>
        <v/>
      </c>
      <c r="BD18" s="647" t="str">
        <f ca="1">IF(INDIRECT(BO18)="SEGMENT",INDIRECT(BP18),"")</f>
        <v/>
      </c>
      <c r="BE18" s="647" t="str">
        <f ca="1">IF(INDIRECT(BQ18)="SEGMENT",INDIRECT(BR18),"")</f>
        <v/>
      </c>
      <c r="BF18" s="648" t="str">
        <f ca="1">IF(INDIRECT(BS18)="SEGMENT",INDIRECT(BT18),"")</f>
        <v/>
      </c>
      <c r="BG18" s="642" t="s">
        <v>56</v>
      </c>
      <c r="BH18" s="642" t="s">
        <v>87</v>
      </c>
      <c r="BI18" s="642" t="s">
        <v>58</v>
      </c>
      <c r="BJ18" s="642" t="s">
        <v>88</v>
      </c>
      <c r="BK18" s="642" t="s">
        <v>60</v>
      </c>
      <c r="BL18" s="642" t="s">
        <v>89</v>
      </c>
      <c r="BM18" s="642" t="s">
        <v>62</v>
      </c>
      <c r="BN18" s="642" t="s">
        <v>90</v>
      </c>
      <c r="BO18" s="642" t="s">
        <v>64</v>
      </c>
      <c r="BP18" s="642" t="s">
        <v>91</v>
      </c>
      <c r="BQ18" s="642" t="s">
        <v>66</v>
      </c>
      <c r="BR18" s="642" t="s">
        <v>92</v>
      </c>
      <c r="BS18" s="642" t="s">
        <v>68</v>
      </c>
      <c r="BT18" s="643" t="s">
        <v>93</v>
      </c>
    </row>
    <row r="19" spans="2:72" ht="15" customHeight="1">
      <c r="B19" s="1022"/>
      <c r="C19" s="1022"/>
      <c r="D19" s="1022"/>
      <c r="E19" s="1022"/>
      <c r="F19" s="1022"/>
      <c r="G19" s="1022"/>
      <c r="H19" s="1022"/>
      <c r="I19" s="1022"/>
      <c r="J19" s="1022"/>
      <c r="K19" s="1022"/>
      <c r="L19" s="1022"/>
      <c r="M19" s="1022"/>
      <c r="O19" s="1037" t="s">
        <v>94</v>
      </c>
      <c r="P19" s="1042"/>
      <c r="Q19" s="1042"/>
      <c r="R19" s="1042"/>
      <c r="S19" s="1042"/>
      <c r="T19" s="1042"/>
      <c r="U19" s="1042"/>
      <c r="V19" s="1042"/>
      <c r="W19" s="1043"/>
      <c r="X19" s="1021"/>
      <c r="Y19" s="1037" t="s">
        <v>95</v>
      </c>
      <c r="Z19" s="1042"/>
      <c r="AA19" s="1042"/>
      <c r="AB19" s="1042"/>
      <c r="AC19" s="1042"/>
      <c r="AD19" s="1042"/>
      <c r="AE19" s="1042"/>
      <c r="AF19" s="1042"/>
      <c r="AG19" s="1043"/>
      <c r="AH19" s="1021"/>
      <c r="AJ19" s="1050"/>
      <c r="AK19" s="1051"/>
      <c r="AL19" s="1051"/>
      <c r="AM19" s="1051"/>
      <c r="AN19" s="1051"/>
      <c r="AO19" s="1051"/>
      <c r="AP19" s="1051"/>
      <c r="AQ19" s="1051"/>
      <c r="AR19" s="1051"/>
      <c r="AS19" s="1051"/>
      <c r="AT19" s="1051"/>
      <c r="AU19" s="1052"/>
      <c r="AX19" s="633"/>
      <c r="AY19" s="638" t="s">
        <v>36</v>
      </c>
      <c r="AZ19" s="649" t="str">
        <f ca="1">IF(INDIRECT(BG19)="SEGMENT",INDIRECT(BH19),"")</f>
        <v/>
      </c>
      <c r="BA19" s="650" t="str">
        <f ca="1">IF(INDIRECT(BI19)="SEGMENT",INDIRECT(BJ19),"")</f>
        <v/>
      </c>
      <c r="BB19" s="650" t="str">
        <f ca="1">IF(INDIRECT(BK19)="SEGMENT",INDIRECT(BL19),"")</f>
        <v/>
      </c>
      <c r="BC19" s="650" t="str">
        <f ca="1">IF(INDIRECT(BM19)="SEGMENT",INDIRECT(BN19),"")</f>
        <v/>
      </c>
      <c r="BD19" s="650" t="str">
        <f ca="1">IF(INDIRECT(BO19)="SEGMENT",INDIRECT(BP19),"")</f>
        <v/>
      </c>
      <c r="BE19" s="650" t="str">
        <f ca="1">IF(INDIRECT(BQ19)="SEGMENT",INDIRECT(BR19),"")</f>
        <v/>
      </c>
      <c r="BF19" s="651" t="str">
        <f ca="1">IF(INDIRECT(BS19)="SEGMENT",INDIRECT(BT19),"")</f>
        <v/>
      </c>
      <c r="BG19" s="642" t="s">
        <v>56</v>
      </c>
      <c r="BH19" s="642" t="s">
        <v>96</v>
      </c>
      <c r="BI19" s="642" t="s">
        <v>58</v>
      </c>
      <c r="BJ19" s="642" t="s">
        <v>97</v>
      </c>
      <c r="BK19" s="642" t="s">
        <v>60</v>
      </c>
      <c r="BL19" s="642" t="s">
        <v>98</v>
      </c>
      <c r="BM19" s="642" t="s">
        <v>62</v>
      </c>
      <c r="BN19" s="642" t="s">
        <v>99</v>
      </c>
      <c r="BO19" s="642" t="s">
        <v>64</v>
      </c>
      <c r="BP19" s="642" t="s">
        <v>100</v>
      </c>
      <c r="BQ19" s="642" t="s">
        <v>66</v>
      </c>
      <c r="BR19" s="642" t="s">
        <v>101</v>
      </c>
      <c r="BS19" s="642" t="s">
        <v>68</v>
      </c>
      <c r="BT19" s="643" t="s">
        <v>102</v>
      </c>
    </row>
    <row r="20" spans="2:72" ht="15" customHeight="1">
      <c r="B20" s="1022"/>
      <c r="C20" s="1022"/>
      <c r="D20" s="1022"/>
      <c r="E20" s="1022"/>
      <c r="F20" s="1022"/>
      <c r="G20" s="1022"/>
      <c r="H20" s="1022"/>
      <c r="I20" s="1022"/>
      <c r="J20" s="1022"/>
      <c r="K20" s="1022"/>
      <c r="L20" s="1022"/>
      <c r="M20" s="1022"/>
      <c r="O20" s="629" t="s">
        <v>21</v>
      </c>
      <c r="P20" s="1023"/>
      <c r="Q20" s="1024"/>
      <c r="R20" s="1024"/>
      <c r="S20" s="1024"/>
      <c r="T20" s="1024"/>
      <c r="U20" s="1024"/>
      <c r="V20" s="1024"/>
      <c r="W20" s="1025"/>
      <c r="X20" s="1021"/>
      <c r="Y20" s="629" t="s">
        <v>21</v>
      </c>
      <c r="Z20" s="1023"/>
      <c r="AA20" s="1024"/>
      <c r="AB20" s="1024"/>
      <c r="AC20" s="1024"/>
      <c r="AD20" s="1024"/>
      <c r="AE20" s="1024"/>
      <c r="AF20" s="1024"/>
      <c r="AG20" s="1025"/>
      <c r="AH20" s="1021"/>
      <c r="AJ20" s="1050"/>
      <c r="AK20" s="1051"/>
      <c r="AL20" s="1051"/>
      <c r="AM20" s="1051"/>
      <c r="AN20" s="1051"/>
      <c r="AO20" s="1051"/>
      <c r="AP20" s="1051"/>
      <c r="AQ20" s="1051"/>
      <c r="AR20" s="1051"/>
      <c r="AS20" s="1051"/>
      <c r="AT20" s="1051"/>
      <c r="AU20" s="1052"/>
      <c r="AX20" s="638" t="s">
        <v>104</v>
      </c>
      <c r="AY20" s="633"/>
      <c r="AZ20" s="652" t="str">
        <f t="shared" ref="AZ20:BF24" ca="1" si="0">IFERROR(IF(AZ15=0,"",AZ15),"")</f>
        <v/>
      </c>
      <c r="BA20" s="653" t="str">
        <f t="shared" ca="1" si="0"/>
        <v/>
      </c>
      <c r="BB20" s="653" t="str">
        <f t="shared" ca="1" si="0"/>
        <v/>
      </c>
      <c r="BC20" s="653" t="str">
        <f t="shared" ca="1" si="0"/>
        <v/>
      </c>
      <c r="BD20" s="653" t="str">
        <f t="shared" ca="1" si="0"/>
        <v/>
      </c>
      <c r="BE20" s="653" t="str">
        <f t="shared" ca="1" si="0"/>
        <v/>
      </c>
      <c r="BF20" s="654" t="str">
        <f t="shared" ca="1" si="0"/>
        <v/>
      </c>
      <c r="BG20" s="642"/>
      <c r="BH20" s="642"/>
      <c r="BI20" s="642"/>
      <c r="BJ20" s="642"/>
      <c r="BK20" s="642"/>
      <c r="BL20" s="642"/>
      <c r="BM20" s="642"/>
      <c r="BN20" s="642"/>
      <c r="BO20" s="642"/>
      <c r="BP20" s="642"/>
      <c r="BQ20" s="642"/>
      <c r="BR20" s="642"/>
      <c r="BS20" s="642"/>
      <c r="BT20" s="643"/>
    </row>
    <row r="21" spans="2:72" ht="15" customHeight="1">
      <c r="B21" s="1022"/>
      <c r="C21" s="1022"/>
      <c r="D21" s="1022"/>
      <c r="E21" s="1022"/>
      <c r="F21" s="1022"/>
      <c r="G21" s="1022"/>
      <c r="H21" s="1022"/>
      <c r="I21" s="1022"/>
      <c r="J21" s="1022"/>
      <c r="K21" s="1022"/>
      <c r="L21" s="1022"/>
      <c r="M21" s="1022"/>
      <c r="O21" s="629" t="s">
        <v>21</v>
      </c>
      <c r="P21" s="1023"/>
      <c r="Q21" s="1024"/>
      <c r="R21" s="1024"/>
      <c r="S21" s="1024"/>
      <c r="T21" s="1024"/>
      <c r="U21" s="1024"/>
      <c r="V21" s="1024"/>
      <c r="W21" s="1025"/>
      <c r="X21" s="1021"/>
      <c r="Y21" s="629" t="s">
        <v>21</v>
      </c>
      <c r="Z21" s="1023"/>
      <c r="AA21" s="1024"/>
      <c r="AB21" s="1024"/>
      <c r="AC21" s="1024"/>
      <c r="AD21" s="1024"/>
      <c r="AE21" s="1024"/>
      <c r="AF21" s="1024"/>
      <c r="AG21" s="1025"/>
      <c r="AH21" s="1021"/>
      <c r="AJ21" s="1050"/>
      <c r="AK21" s="1051"/>
      <c r="AL21" s="1051"/>
      <c r="AM21" s="1051"/>
      <c r="AN21" s="1051"/>
      <c r="AO21" s="1051"/>
      <c r="AP21" s="1051"/>
      <c r="AQ21" s="1051"/>
      <c r="AR21" s="1051"/>
      <c r="AS21" s="1051"/>
      <c r="AT21" s="1051"/>
      <c r="AU21" s="1052"/>
      <c r="AX21" s="633"/>
      <c r="AY21" s="633"/>
      <c r="AZ21" s="655" t="str">
        <f t="shared" ca="1" si="0"/>
        <v/>
      </c>
      <c r="BA21" s="642" t="str">
        <f t="shared" ca="1" si="0"/>
        <v/>
      </c>
      <c r="BB21" s="642" t="str">
        <f t="shared" ca="1" si="0"/>
        <v/>
      </c>
      <c r="BC21" s="642" t="str">
        <f t="shared" ca="1" si="0"/>
        <v/>
      </c>
      <c r="BD21" s="642" t="str">
        <f t="shared" ca="1" si="0"/>
        <v/>
      </c>
      <c r="BE21" s="642" t="str">
        <f t="shared" ca="1" si="0"/>
        <v/>
      </c>
      <c r="BF21" s="656" t="str">
        <f t="shared" ca="1" si="0"/>
        <v/>
      </c>
      <c r="BG21" s="642"/>
      <c r="BH21" s="642"/>
      <c r="BI21" s="642"/>
      <c r="BJ21" s="642"/>
      <c r="BK21" s="642"/>
      <c r="BL21" s="642"/>
      <c r="BM21" s="642"/>
      <c r="BN21" s="642"/>
      <c r="BO21" s="642"/>
      <c r="BP21" s="642"/>
      <c r="BQ21" s="642"/>
      <c r="BR21" s="642"/>
      <c r="BS21" s="642"/>
      <c r="BT21" s="643"/>
    </row>
    <row r="22" spans="2:72" ht="15" customHeight="1">
      <c r="B22" s="1022"/>
      <c r="C22" s="1022"/>
      <c r="D22" s="1022"/>
      <c r="E22" s="1022"/>
      <c r="F22" s="1022"/>
      <c r="G22" s="1022"/>
      <c r="H22" s="1022"/>
      <c r="I22" s="1022"/>
      <c r="J22" s="1022"/>
      <c r="K22" s="1022"/>
      <c r="L22" s="1022"/>
      <c r="M22" s="1022"/>
      <c r="O22" s="629" t="s">
        <v>21</v>
      </c>
      <c r="P22" s="1023"/>
      <c r="Q22" s="1024"/>
      <c r="R22" s="1024"/>
      <c r="S22" s="1024"/>
      <c r="T22" s="1024"/>
      <c r="U22" s="1024"/>
      <c r="V22" s="1024"/>
      <c r="W22" s="1025"/>
      <c r="X22" s="1021"/>
      <c r="Y22" s="629" t="s">
        <v>21</v>
      </c>
      <c r="Z22" s="1023"/>
      <c r="AA22" s="1024"/>
      <c r="AB22" s="1024"/>
      <c r="AC22" s="1024"/>
      <c r="AD22" s="1024"/>
      <c r="AE22" s="1024"/>
      <c r="AF22" s="1024"/>
      <c r="AG22" s="1025"/>
      <c r="AH22" s="1021"/>
      <c r="AJ22" s="1050"/>
      <c r="AK22" s="1051"/>
      <c r="AL22" s="1051"/>
      <c r="AM22" s="1051"/>
      <c r="AN22" s="1051"/>
      <c r="AO22" s="1051"/>
      <c r="AP22" s="1051"/>
      <c r="AQ22" s="1051"/>
      <c r="AR22" s="1051"/>
      <c r="AS22" s="1051"/>
      <c r="AT22" s="1051"/>
      <c r="AU22" s="1052"/>
      <c r="AX22" s="633"/>
      <c r="AY22" s="633"/>
      <c r="AZ22" s="655" t="str">
        <f t="shared" ca="1" si="0"/>
        <v/>
      </c>
      <c r="BA22" s="642" t="str">
        <f t="shared" ca="1" si="0"/>
        <v/>
      </c>
      <c r="BB22" s="642" t="str">
        <f t="shared" ca="1" si="0"/>
        <v/>
      </c>
      <c r="BC22" s="642" t="str">
        <f t="shared" ca="1" si="0"/>
        <v/>
      </c>
      <c r="BD22" s="642" t="str">
        <f t="shared" ca="1" si="0"/>
        <v/>
      </c>
      <c r="BE22" s="642" t="str">
        <f t="shared" ca="1" si="0"/>
        <v/>
      </c>
      <c r="BF22" s="656" t="str">
        <f t="shared" ca="1" si="0"/>
        <v/>
      </c>
      <c r="BG22" s="642"/>
      <c r="BH22" s="642"/>
      <c r="BI22" s="642"/>
      <c r="BJ22" s="642"/>
      <c r="BK22" s="642"/>
      <c r="BL22" s="642"/>
      <c r="BM22" s="642"/>
      <c r="BN22" s="642"/>
      <c r="BO22" s="642"/>
      <c r="BP22" s="642"/>
      <c r="BQ22" s="642"/>
      <c r="BR22" s="642"/>
      <c r="BS22" s="642"/>
      <c r="BT22" s="643"/>
    </row>
    <row r="23" spans="2:72" ht="15" customHeight="1">
      <c r="B23" s="1022"/>
      <c r="C23" s="1022"/>
      <c r="D23" s="1022"/>
      <c r="E23" s="1022"/>
      <c r="F23" s="1022"/>
      <c r="G23" s="1022"/>
      <c r="H23" s="1022"/>
      <c r="I23" s="1022"/>
      <c r="J23" s="1022"/>
      <c r="K23" s="1022"/>
      <c r="L23" s="1022"/>
      <c r="M23" s="1022"/>
      <c r="O23" s="755"/>
      <c r="P23" s="755"/>
      <c r="Q23" s="755"/>
      <c r="R23" s="755"/>
      <c r="S23" s="755"/>
      <c r="T23" s="755"/>
      <c r="U23" s="755"/>
      <c r="V23" s="755"/>
      <c r="W23" s="755"/>
      <c r="X23" s="755"/>
      <c r="Y23" s="755"/>
      <c r="Z23" s="755"/>
      <c r="AA23" s="755"/>
      <c r="AB23" s="755"/>
      <c r="AC23" s="755"/>
      <c r="AD23" s="755"/>
      <c r="AE23" s="755"/>
      <c r="AF23" s="755"/>
      <c r="AG23" s="755"/>
      <c r="AH23" s="755"/>
      <c r="AJ23" s="1050"/>
      <c r="AK23" s="1051"/>
      <c r="AL23" s="1051"/>
      <c r="AM23" s="1051"/>
      <c r="AN23" s="1051"/>
      <c r="AO23" s="1051"/>
      <c r="AP23" s="1051"/>
      <c r="AQ23" s="1051"/>
      <c r="AR23" s="1051"/>
      <c r="AS23" s="1051"/>
      <c r="AT23" s="1051"/>
      <c r="AU23" s="1052"/>
      <c r="AX23" s="633"/>
      <c r="AY23" s="633"/>
      <c r="AZ23" s="655" t="str">
        <f t="shared" ca="1" si="0"/>
        <v/>
      </c>
      <c r="BA23" s="642" t="str">
        <f t="shared" ca="1" si="0"/>
        <v/>
      </c>
      <c r="BB23" s="642" t="str">
        <f t="shared" ca="1" si="0"/>
        <v/>
      </c>
      <c r="BC23" s="642" t="str">
        <f t="shared" ca="1" si="0"/>
        <v/>
      </c>
      <c r="BD23" s="642" t="str">
        <f t="shared" ca="1" si="0"/>
        <v/>
      </c>
      <c r="BE23" s="642" t="str">
        <f t="shared" ca="1" si="0"/>
        <v/>
      </c>
      <c r="BF23" s="656" t="str">
        <f t="shared" ca="1" si="0"/>
        <v/>
      </c>
      <c r="BG23" s="642"/>
      <c r="BH23" s="642"/>
      <c r="BI23" s="642"/>
      <c r="BJ23" s="642"/>
      <c r="BK23" s="642"/>
      <c r="BL23" s="642"/>
      <c r="BM23" s="642"/>
      <c r="BN23" s="642"/>
      <c r="BO23" s="642"/>
      <c r="BP23" s="642"/>
      <c r="BQ23" s="642"/>
      <c r="BR23" s="642"/>
      <c r="BS23" s="642"/>
      <c r="BT23" s="643"/>
    </row>
    <row r="24" spans="2:72" ht="15" customHeight="1">
      <c r="B24" s="1022"/>
      <c r="C24" s="1022"/>
      <c r="D24" s="1022"/>
      <c r="E24" s="1022"/>
      <c r="F24" s="1022"/>
      <c r="G24" s="1022"/>
      <c r="H24" s="1022"/>
      <c r="I24" s="1022"/>
      <c r="J24" s="1022"/>
      <c r="K24" s="1022"/>
      <c r="L24" s="1022"/>
      <c r="M24" s="1022"/>
      <c r="O24" s="1037" t="s">
        <v>109</v>
      </c>
      <c r="P24" s="1042"/>
      <c r="Q24" s="1042"/>
      <c r="R24" s="1042"/>
      <c r="S24" s="1042"/>
      <c r="T24" s="1042"/>
      <c r="U24" s="1042"/>
      <c r="V24" s="1042"/>
      <c r="W24" s="1043"/>
      <c r="X24" s="1021"/>
      <c r="Y24" s="1037" t="s">
        <v>110</v>
      </c>
      <c r="Z24" s="1042"/>
      <c r="AA24" s="1042"/>
      <c r="AB24" s="1042"/>
      <c r="AC24" s="1042"/>
      <c r="AD24" s="1042"/>
      <c r="AE24" s="1042"/>
      <c r="AF24" s="1042"/>
      <c r="AG24" s="1043"/>
      <c r="AH24" s="1021"/>
      <c r="AJ24" s="1050"/>
      <c r="AK24" s="1051"/>
      <c r="AL24" s="1051"/>
      <c r="AM24" s="1051"/>
      <c r="AN24" s="1051"/>
      <c r="AO24" s="1051"/>
      <c r="AP24" s="1051"/>
      <c r="AQ24" s="1051"/>
      <c r="AR24" s="1051"/>
      <c r="AS24" s="1051"/>
      <c r="AT24" s="1051"/>
      <c r="AU24" s="1052"/>
      <c r="AX24" s="633"/>
      <c r="AY24" s="633"/>
      <c r="AZ24" s="657" t="str">
        <f t="shared" ca="1" si="0"/>
        <v/>
      </c>
      <c r="BA24" s="658" t="str">
        <f t="shared" ca="1" si="0"/>
        <v/>
      </c>
      <c r="BB24" s="658" t="str">
        <f t="shared" ca="1" si="0"/>
        <v/>
      </c>
      <c r="BC24" s="658" t="str">
        <f t="shared" ca="1" si="0"/>
        <v/>
      </c>
      <c r="BD24" s="658" t="str">
        <f t="shared" ca="1" si="0"/>
        <v/>
      </c>
      <c r="BE24" s="658" t="str">
        <f t="shared" ca="1" si="0"/>
        <v/>
      </c>
      <c r="BF24" s="659" t="str">
        <f t="shared" ca="1" si="0"/>
        <v/>
      </c>
      <c r="BG24" s="642"/>
      <c r="BH24" s="642"/>
      <c r="BI24" s="642"/>
      <c r="BJ24" s="642"/>
      <c r="BK24" s="642"/>
      <c r="BL24" s="642"/>
      <c r="BM24" s="642"/>
      <c r="BN24" s="642"/>
      <c r="BO24" s="642"/>
      <c r="BP24" s="642"/>
      <c r="BQ24" s="642"/>
      <c r="BR24" s="642"/>
      <c r="BS24" s="642"/>
      <c r="BT24" s="643"/>
    </row>
    <row r="25" spans="2:72" ht="15" customHeight="1">
      <c r="B25" s="1022"/>
      <c r="C25" s="1022"/>
      <c r="D25" s="1022"/>
      <c r="E25" s="1022"/>
      <c r="F25" s="1022"/>
      <c r="G25" s="1022"/>
      <c r="H25" s="1022"/>
      <c r="I25" s="1022"/>
      <c r="J25" s="1022"/>
      <c r="K25" s="1022"/>
      <c r="L25" s="1022"/>
      <c r="M25" s="1022"/>
      <c r="O25" s="629" t="s">
        <v>21</v>
      </c>
      <c r="P25" s="1023"/>
      <c r="Q25" s="1024"/>
      <c r="R25" s="1024"/>
      <c r="S25" s="1024"/>
      <c r="T25" s="1024"/>
      <c r="U25" s="1024"/>
      <c r="V25" s="1024"/>
      <c r="W25" s="1025"/>
      <c r="X25" s="1021"/>
      <c r="Y25" s="629" t="s">
        <v>21</v>
      </c>
      <c r="Z25" s="1023"/>
      <c r="AA25" s="1024"/>
      <c r="AB25" s="1024"/>
      <c r="AC25" s="1024"/>
      <c r="AD25" s="1024"/>
      <c r="AE25" s="1024"/>
      <c r="AF25" s="1024"/>
      <c r="AG25" s="1025"/>
      <c r="AH25" s="1021"/>
      <c r="AJ25" s="1050"/>
      <c r="AK25" s="1051"/>
      <c r="AL25" s="1051"/>
      <c r="AM25" s="1051"/>
      <c r="AN25" s="1051"/>
      <c r="AO25" s="1051"/>
      <c r="AP25" s="1051"/>
      <c r="AQ25" s="1051"/>
      <c r="AR25" s="1051"/>
      <c r="AS25" s="1051"/>
      <c r="AT25" s="1051"/>
      <c r="AU25" s="1052"/>
      <c r="AX25" s="638" t="s">
        <v>113</v>
      </c>
      <c r="AY25" s="633"/>
      <c r="AZ25" s="660" t="str">
        <f ca="1">IFERROR(IF(AZ20="","",AZ14&amp;":  "&amp;AZ20&amp;"
     "&amp;$AY$16&amp;":  "&amp;AZ21&amp;"
     "&amp;$AY$17&amp;":  "&amp;AZ22&amp;"
     "&amp;$AY$18&amp;":  "&amp;AZ23&amp;"
     "&amp;#REF!&amp;":  "&amp;#REF!&amp;"
     "&amp;$AY$19&amp;":  "&amp;AZ24),"")</f>
        <v/>
      </c>
      <c r="BA25" s="661" t="str">
        <f ca="1">IFERROR(IF(BA20="","",BA14&amp;":  "&amp;BA20&amp;"
     "&amp;$AY$16&amp;":  "&amp;BA21&amp;"
     "&amp;$AY$17&amp;":  "&amp;BA22&amp;"
     "&amp;$AY$18&amp;":  "&amp;BA23&amp;"
     "&amp;#REF!&amp;":  "&amp;#REF!&amp;"
     "&amp;$AY$19&amp;":  "&amp;BA24),"")</f>
        <v/>
      </c>
      <c r="BB25" s="661" t="str">
        <f ca="1">IFERROR(IF(BB20="","",BB14&amp;":  "&amp;BB20&amp;"
     "&amp;$AY$16&amp;":  "&amp;BB21&amp;"
     "&amp;$AY$17&amp;":  "&amp;BB22&amp;"
     "&amp;$AY$18&amp;":  "&amp;BB23&amp;"
     "&amp;#REF!&amp;":  "&amp;#REF!&amp;"
     "&amp;$AY$19&amp;":  "&amp;BB24),"")</f>
        <v/>
      </c>
      <c r="BC25" s="661" t="str">
        <f ca="1">IFERROR(IF(BC20="","",BC14&amp;":  "&amp;BC20&amp;"
     "&amp;$AY$16&amp;":  "&amp;BC21&amp;"
     "&amp;$AY$17&amp;":  "&amp;BC22&amp;"
     "&amp;$AY$18&amp;":  "&amp;BC23&amp;"
     "&amp;#REF!&amp;":  "&amp;#REF!&amp;"
     "&amp;$AY$19&amp;":  "&amp;BC24),"")</f>
        <v/>
      </c>
      <c r="BD25" s="661" t="str">
        <f ca="1">IFERROR(IF(BD20="","",BD14&amp;":  "&amp;BD20&amp;"
     "&amp;$AY$16&amp;":  "&amp;BD21&amp;"
     "&amp;$AY$17&amp;":  "&amp;BD22&amp;"
     "&amp;$AY$18&amp;":  "&amp;BD23&amp;"
     "&amp;#REF!&amp;":  "&amp;#REF!&amp;"
     "&amp;$AY$19&amp;":  "&amp;BD24),"")</f>
        <v/>
      </c>
      <c r="BE25" s="661" t="str">
        <f ca="1">IFERROR(IF(BE20="","",BE14&amp;":  "&amp;BE20&amp;"
     "&amp;$AY$16&amp;":  "&amp;BE21&amp;"
     "&amp;$AY$17&amp;":  "&amp;BE22&amp;"
     "&amp;$AY$18&amp;":  "&amp;BE23&amp;"
     "&amp;#REF!&amp;":  "&amp;#REF!&amp;"
     "&amp;$AY$19&amp;":  "&amp;BE24),"")</f>
        <v/>
      </c>
      <c r="BF25" s="662" t="str">
        <f ca="1">IFERROR(IF(BF20="","",BF14&amp;":  "&amp;BF20&amp;"
     "&amp;$AY$16&amp;":  "&amp;BF21&amp;"
     "&amp;$AY$17&amp;":  "&amp;BF22&amp;"
     "&amp;$AY$18&amp;":  "&amp;BF23&amp;"
     "&amp;#REF!&amp;":  "&amp;#REF!&amp;"
     "&amp;$AY$19&amp;":  "&amp;BF24),"")</f>
        <v/>
      </c>
      <c r="BG25" s="642"/>
      <c r="BH25" s="642"/>
      <c r="BI25" s="642"/>
      <c r="BJ25" s="642"/>
      <c r="BK25" s="642"/>
      <c r="BL25" s="642"/>
      <c r="BM25" s="642"/>
      <c r="BN25" s="642"/>
      <c r="BO25" s="642"/>
      <c r="BP25" s="642"/>
      <c r="BQ25" s="642"/>
      <c r="BR25" s="642"/>
      <c r="BS25" s="642"/>
      <c r="BT25" s="643"/>
    </row>
    <row r="26" spans="2:72" ht="15" customHeight="1">
      <c r="B26" s="1022"/>
      <c r="C26" s="1022"/>
      <c r="D26" s="1022"/>
      <c r="E26" s="1022"/>
      <c r="F26" s="1022"/>
      <c r="G26" s="1022"/>
      <c r="H26" s="1022"/>
      <c r="I26" s="1022"/>
      <c r="J26" s="1022"/>
      <c r="K26" s="1022"/>
      <c r="L26" s="1022"/>
      <c r="M26" s="1022"/>
      <c r="O26" s="629" t="s">
        <v>21</v>
      </c>
      <c r="P26" s="1023"/>
      <c r="Q26" s="1024"/>
      <c r="R26" s="1024"/>
      <c r="S26" s="1024"/>
      <c r="T26" s="1024"/>
      <c r="U26" s="1024"/>
      <c r="V26" s="1024"/>
      <c r="W26" s="1025"/>
      <c r="X26" s="1021"/>
      <c r="Y26" s="629" t="s">
        <v>21</v>
      </c>
      <c r="Z26" s="1023"/>
      <c r="AA26" s="1024"/>
      <c r="AB26" s="1024"/>
      <c r="AC26" s="1024"/>
      <c r="AD26" s="1024"/>
      <c r="AE26" s="1024"/>
      <c r="AF26" s="1024"/>
      <c r="AG26" s="1025"/>
      <c r="AH26" s="1021"/>
      <c r="AJ26" s="1050"/>
      <c r="AK26" s="1051"/>
      <c r="AL26" s="1051"/>
      <c r="AM26" s="1051"/>
      <c r="AN26" s="1051"/>
      <c r="AO26" s="1051"/>
      <c r="AP26" s="1051"/>
      <c r="AQ26" s="1051"/>
      <c r="AR26" s="1051"/>
      <c r="AS26" s="1051"/>
      <c r="AT26" s="1051"/>
      <c r="AU26" s="1052"/>
      <c r="AX26" s="663" t="s">
        <v>116</v>
      </c>
      <c r="AY26" s="664"/>
      <c r="AZ26" s="665" t="str">
        <f ca="1">IF(AZ25&lt;&gt;"",AZ25&amp;"
","")&amp;IF(BA25&lt;&gt;"",BA25&amp;"
","")&amp;IF(BB25&lt;&gt;"",BB25&amp;"
","")&amp;IF(BC25&lt;&gt;"",BC25&amp;"
","")&amp;IF(BD25&lt;&gt;"",BD25&amp;"
","")&amp;IF(BE25&lt;&gt;"",BE25&amp;"
","")&amp;IF(BF25&lt;&gt;"",BF25,"")</f>
        <v/>
      </c>
      <c r="BA26" s="666"/>
      <c r="BB26" s="666"/>
      <c r="BC26" s="666"/>
      <c r="BD26" s="666"/>
      <c r="BE26" s="666"/>
      <c r="BF26" s="666"/>
      <c r="BG26" s="666"/>
      <c r="BH26" s="666"/>
      <c r="BI26" s="666"/>
      <c r="BJ26" s="666"/>
      <c r="BK26" s="666"/>
      <c r="BL26" s="666"/>
      <c r="BM26" s="666"/>
      <c r="BN26" s="666"/>
      <c r="BO26" s="666"/>
      <c r="BP26" s="666"/>
      <c r="BQ26" s="666"/>
      <c r="BR26" s="666"/>
      <c r="BS26" s="666"/>
      <c r="BT26" s="667"/>
    </row>
    <row r="27" spans="2:72" ht="15" customHeight="1">
      <c r="B27" s="1022"/>
      <c r="C27" s="1022"/>
      <c r="D27" s="1022"/>
      <c r="E27" s="1022"/>
      <c r="F27" s="1022"/>
      <c r="G27" s="1022"/>
      <c r="H27" s="1022"/>
      <c r="I27" s="1022"/>
      <c r="J27" s="1022"/>
      <c r="K27" s="1022"/>
      <c r="L27" s="1022"/>
      <c r="M27" s="1022"/>
      <c r="O27" s="629" t="s">
        <v>21</v>
      </c>
      <c r="P27" s="1023"/>
      <c r="Q27" s="1024"/>
      <c r="R27" s="1024"/>
      <c r="S27" s="1024"/>
      <c r="T27" s="1024"/>
      <c r="U27" s="1024"/>
      <c r="V27" s="1024"/>
      <c r="W27" s="1025"/>
      <c r="X27" s="1021"/>
      <c r="Y27" s="629" t="s">
        <v>21</v>
      </c>
      <c r="Z27" s="1023"/>
      <c r="AA27" s="1024"/>
      <c r="AB27" s="1024"/>
      <c r="AC27" s="1024"/>
      <c r="AD27" s="1024"/>
      <c r="AE27" s="1024"/>
      <c r="AF27" s="1024"/>
      <c r="AG27" s="1025"/>
      <c r="AH27" s="1021"/>
      <c r="AJ27" s="1050"/>
      <c r="AK27" s="1051"/>
      <c r="AL27" s="1051"/>
      <c r="AM27" s="1051"/>
      <c r="AN27" s="1051"/>
      <c r="AO27" s="1051"/>
      <c r="AP27" s="1051"/>
      <c r="AQ27" s="1051"/>
      <c r="AR27" s="1051"/>
      <c r="AS27" s="1051"/>
      <c r="AT27" s="1051"/>
      <c r="AU27" s="1052"/>
    </row>
    <row r="28" spans="2:72" ht="15" customHeight="1">
      <c r="B28" s="1022"/>
      <c r="C28" s="1022"/>
      <c r="D28" s="1022"/>
      <c r="E28" s="1022"/>
      <c r="F28" s="1022"/>
      <c r="G28" s="1022"/>
      <c r="H28" s="1022"/>
      <c r="I28" s="1022"/>
      <c r="J28" s="1022"/>
      <c r="K28" s="1022"/>
      <c r="L28" s="1022"/>
      <c r="M28" s="1022"/>
      <c r="O28" s="755"/>
      <c r="P28" s="755"/>
      <c r="Q28" s="755"/>
      <c r="R28" s="755"/>
      <c r="S28" s="755"/>
      <c r="T28" s="755"/>
      <c r="U28" s="755"/>
      <c r="V28" s="755"/>
      <c r="W28" s="755"/>
      <c r="X28" s="755"/>
      <c r="Y28" s="755"/>
      <c r="Z28" s="755"/>
      <c r="AA28" s="755"/>
      <c r="AB28" s="755"/>
      <c r="AC28" s="755"/>
      <c r="AD28" s="755"/>
      <c r="AE28" s="755"/>
      <c r="AF28" s="755"/>
      <c r="AG28" s="755"/>
      <c r="AH28" s="755"/>
      <c r="AJ28" s="1050"/>
      <c r="AK28" s="1051"/>
      <c r="AL28" s="1051"/>
      <c r="AM28" s="1051"/>
      <c r="AN28" s="1051"/>
      <c r="AO28" s="1051"/>
      <c r="AP28" s="1051"/>
      <c r="AQ28" s="1051"/>
      <c r="AR28" s="1051"/>
      <c r="AS28" s="1051"/>
      <c r="AT28" s="1051"/>
      <c r="AU28" s="1052"/>
      <c r="AY28" s="668" t="s">
        <v>119</v>
      </c>
      <c r="AZ28" s="668" t="s">
        <v>120</v>
      </c>
      <c r="BA28" s="668" t="s">
        <v>121</v>
      </c>
      <c r="BB28" s="668" t="s">
        <v>122</v>
      </c>
      <c r="BC28" s="668" t="s">
        <v>123</v>
      </c>
      <c r="BD28" s="668" t="s">
        <v>124</v>
      </c>
      <c r="BE28" s="668" t="s">
        <v>125</v>
      </c>
      <c r="BF28" s="750" t="s">
        <v>126</v>
      </c>
    </row>
    <row r="29" spans="2:72" ht="15" customHeight="1">
      <c r="B29" s="1022"/>
      <c r="C29" s="1022"/>
      <c r="D29" s="1022"/>
      <c r="E29" s="1022"/>
      <c r="F29" s="1022"/>
      <c r="G29" s="1022"/>
      <c r="H29" s="1022"/>
      <c r="I29" s="1022"/>
      <c r="J29" s="1022"/>
      <c r="K29" s="1022"/>
      <c r="L29" s="1022"/>
      <c r="M29" s="1022"/>
      <c r="O29" s="1037" t="s">
        <v>127</v>
      </c>
      <c r="P29" s="1042"/>
      <c r="Q29" s="1042"/>
      <c r="R29" s="1042"/>
      <c r="S29" s="1042"/>
      <c r="T29" s="1042"/>
      <c r="U29" s="1042"/>
      <c r="V29" s="1042"/>
      <c r="W29" s="1043"/>
      <c r="X29" s="1021"/>
      <c r="Y29" s="1037" t="s">
        <v>128</v>
      </c>
      <c r="Z29" s="1042"/>
      <c r="AA29" s="1042"/>
      <c r="AB29" s="1042"/>
      <c r="AC29" s="1042"/>
      <c r="AD29" s="1042"/>
      <c r="AE29" s="1042"/>
      <c r="AF29" s="1042"/>
      <c r="AG29" s="1043"/>
      <c r="AH29" s="1021"/>
      <c r="AJ29" s="1050"/>
      <c r="AK29" s="1051"/>
      <c r="AL29" s="1051"/>
      <c r="AM29" s="1051"/>
      <c r="AN29" s="1051"/>
      <c r="AO29" s="1051"/>
      <c r="AP29" s="1051"/>
      <c r="AQ29" s="1051"/>
      <c r="AR29" s="1051"/>
      <c r="AS29" s="1051"/>
      <c r="AT29" s="1051"/>
      <c r="AU29" s="1052"/>
      <c r="AY29" s="668" t="s">
        <v>129</v>
      </c>
      <c r="AZ29" s="668" t="s">
        <v>129</v>
      </c>
      <c r="BA29" s="668" t="e">
        <f>#REF!</f>
        <v>#REF!</v>
      </c>
      <c r="BB29" s="668" t="s">
        <v>130</v>
      </c>
      <c r="BC29" s="668"/>
      <c r="BD29" s="668" t="str">
        <f t="shared" ref="BD29:BD57" si="1">IF(OR(BC29=0,BC29=""),"",BC29)</f>
        <v/>
      </c>
      <c r="BE29" s="668" t="str">
        <f t="shared" ref="BE29:BE57" si="2">IFERROR(IF(OR(BB29="Primary",BB29="Secondary",BB29="Tertiary"),AZ29&amp;" Score:  "&amp;BA29,IF(AND(BB29="Issue",BD29&lt;&gt;""),BB29&amp;":  "&amp;BD29&amp;" ("&amp;BA29&amp;IF(OR(BA29=1,BA29=-1)," point)"," points)"),"")),"")</f>
        <v/>
      </c>
      <c r="BH29" s="669" t="s">
        <v>131</v>
      </c>
      <c r="BI29" s="669" t="s">
        <v>132</v>
      </c>
      <c r="BJ29" s="669" t="s">
        <v>133</v>
      </c>
    </row>
    <row r="30" spans="2:72" ht="15" customHeight="1">
      <c r="B30" s="1022"/>
      <c r="C30" s="1022"/>
      <c r="D30" s="1022"/>
      <c r="E30" s="1022"/>
      <c r="F30" s="1022"/>
      <c r="G30" s="1022"/>
      <c r="H30" s="1022"/>
      <c r="I30" s="1022"/>
      <c r="J30" s="1022"/>
      <c r="K30" s="1022"/>
      <c r="L30" s="1022"/>
      <c r="M30" s="1022"/>
      <c r="O30" s="629" t="s">
        <v>21</v>
      </c>
      <c r="P30" s="1023"/>
      <c r="Q30" s="1024"/>
      <c r="R30" s="1024"/>
      <c r="S30" s="1024"/>
      <c r="T30" s="1024"/>
      <c r="U30" s="1024"/>
      <c r="V30" s="1024"/>
      <c r="W30" s="1025"/>
      <c r="X30" s="1021"/>
      <c r="Y30" s="629" t="s">
        <v>21</v>
      </c>
      <c r="Z30" s="1023"/>
      <c r="AA30" s="1024"/>
      <c r="AB30" s="1024"/>
      <c r="AC30" s="1024"/>
      <c r="AD30" s="1024"/>
      <c r="AE30" s="1024"/>
      <c r="AF30" s="1024"/>
      <c r="AG30" s="1025"/>
      <c r="AH30" s="1021"/>
      <c r="AJ30" s="1050"/>
      <c r="AK30" s="1051"/>
      <c r="AL30" s="1051"/>
      <c r="AM30" s="1051"/>
      <c r="AN30" s="1051"/>
      <c r="AO30" s="1051"/>
      <c r="AP30" s="1051"/>
      <c r="AQ30" s="1051"/>
      <c r="AR30" s="1051"/>
      <c r="AS30" s="1051"/>
      <c r="AT30" s="1051"/>
      <c r="AU30" s="1052"/>
      <c r="AY30" s="668" t="s">
        <v>136</v>
      </c>
      <c r="AZ30" s="668" t="s">
        <v>137</v>
      </c>
      <c r="BA30" s="668">
        <f>X9</f>
        <v>0</v>
      </c>
      <c r="BB30" s="668" t="s">
        <v>138</v>
      </c>
      <c r="BC30" s="668"/>
      <c r="BD30" s="668" t="str">
        <f t="shared" si="1"/>
        <v/>
      </c>
      <c r="BE30" s="668" t="str">
        <f t="shared" si="2"/>
        <v>Profitability Score:  0</v>
      </c>
    </row>
    <row r="31" spans="2:72" ht="15" customHeight="1">
      <c r="B31" s="1022"/>
      <c r="C31" s="1022"/>
      <c r="D31" s="1022"/>
      <c r="E31" s="1022"/>
      <c r="F31" s="1022"/>
      <c r="G31" s="1022"/>
      <c r="H31" s="1022"/>
      <c r="I31" s="1022"/>
      <c r="J31" s="1022"/>
      <c r="K31" s="1022"/>
      <c r="L31" s="1022"/>
      <c r="M31" s="1022"/>
      <c r="O31" s="629" t="s">
        <v>21</v>
      </c>
      <c r="P31" s="1023"/>
      <c r="Q31" s="1024"/>
      <c r="R31" s="1024"/>
      <c r="S31" s="1024"/>
      <c r="T31" s="1024"/>
      <c r="U31" s="1024"/>
      <c r="V31" s="1024"/>
      <c r="W31" s="1025"/>
      <c r="X31" s="1021"/>
      <c r="Y31" s="629" t="s">
        <v>21</v>
      </c>
      <c r="Z31" s="1023"/>
      <c r="AA31" s="1024"/>
      <c r="AB31" s="1024"/>
      <c r="AC31" s="1024"/>
      <c r="AD31" s="1024"/>
      <c r="AE31" s="1024"/>
      <c r="AF31" s="1024"/>
      <c r="AG31" s="1025"/>
      <c r="AH31" s="1021"/>
      <c r="AJ31" s="1050"/>
      <c r="AK31" s="1051"/>
      <c r="AL31" s="1051"/>
      <c r="AM31" s="1051"/>
      <c r="AN31" s="1051"/>
      <c r="AO31" s="1051"/>
      <c r="AP31" s="1051"/>
      <c r="AQ31" s="1051"/>
      <c r="AR31" s="1051"/>
      <c r="AS31" s="1051"/>
      <c r="AT31" s="1051"/>
      <c r="AU31" s="1052"/>
      <c r="AY31" s="668" t="s">
        <v>141</v>
      </c>
      <c r="AZ31" s="668" t="s">
        <v>137</v>
      </c>
      <c r="BA31" s="668">
        <f>X10</f>
        <v>0</v>
      </c>
      <c r="BB31" s="668" t="s">
        <v>21</v>
      </c>
      <c r="BC31" s="668">
        <f>P10</f>
        <v>0</v>
      </c>
      <c r="BD31" s="668" t="str">
        <f t="shared" si="1"/>
        <v/>
      </c>
      <c r="BE31" s="668" t="str">
        <f t="shared" si="2"/>
        <v/>
      </c>
    </row>
    <row r="32" spans="2:72" ht="15" customHeight="1">
      <c r="B32" s="1022"/>
      <c r="C32" s="1022"/>
      <c r="D32" s="1022"/>
      <c r="E32" s="1022"/>
      <c r="F32" s="1022"/>
      <c r="G32" s="1022"/>
      <c r="H32" s="1022"/>
      <c r="I32" s="1022"/>
      <c r="J32" s="1022"/>
      <c r="K32" s="1022"/>
      <c r="L32" s="1022"/>
      <c r="M32" s="1022"/>
      <c r="O32" s="629" t="s">
        <v>21</v>
      </c>
      <c r="P32" s="1023"/>
      <c r="Q32" s="1024"/>
      <c r="R32" s="1024"/>
      <c r="S32" s="1024"/>
      <c r="T32" s="1024"/>
      <c r="U32" s="1024"/>
      <c r="V32" s="1024"/>
      <c r="W32" s="1025"/>
      <c r="X32" s="1021"/>
      <c r="Y32" s="629" t="s">
        <v>21</v>
      </c>
      <c r="Z32" s="1023"/>
      <c r="AA32" s="1024"/>
      <c r="AB32" s="1024"/>
      <c r="AC32" s="1024"/>
      <c r="AD32" s="1024"/>
      <c r="AE32" s="1024"/>
      <c r="AF32" s="1024"/>
      <c r="AG32" s="1025"/>
      <c r="AH32" s="1021"/>
      <c r="AJ32" s="1050"/>
      <c r="AK32" s="1051"/>
      <c r="AL32" s="1051"/>
      <c r="AM32" s="1051"/>
      <c r="AN32" s="1051"/>
      <c r="AO32" s="1051"/>
      <c r="AP32" s="1051"/>
      <c r="AQ32" s="1051"/>
      <c r="AR32" s="1051"/>
      <c r="AS32" s="1051"/>
      <c r="AT32" s="1051"/>
      <c r="AU32" s="1052"/>
      <c r="AY32" s="668" t="s">
        <v>144</v>
      </c>
      <c r="AZ32" s="668" t="s">
        <v>137</v>
      </c>
      <c r="BA32" s="668">
        <f>X11</f>
        <v>0</v>
      </c>
      <c r="BB32" s="668" t="s">
        <v>21</v>
      </c>
      <c r="BC32" s="668">
        <f>P11</f>
        <v>0</v>
      </c>
      <c r="BD32" s="668" t="str">
        <f t="shared" si="1"/>
        <v/>
      </c>
      <c r="BE32" s="668" t="str">
        <f t="shared" si="2"/>
        <v/>
      </c>
    </row>
    <row r="33" spans="2:57" ht="15" customHeight="1">
      <c r="B33" s="1022"/>
      <c r="C33" s="1022"/>
      <c r="D33" s="1022"/>
      <c r="E33" s="1022"/>
      <c r="F33" s="1022"/>
      <c r="G33" s="1022"/>
      <c r="H33" s="1022"/>
      <c r="I33" s="1022"/>
      <c r="J33" s="1022"/>
      <c r="K33" s="1022"/>
      <c r="L33" s="1022"/>
      <c r="M33" s="1022"/>
      <c r="O33" s="755"/>
      <c r="P33" s="755"/>
      <c r="Q33" s="755"/>
      <c r="R33" s="755"/>
      <c r="S33" s="755"/>
      <c r="T33" s="755"/>
      <c r="U33" s="755"/>
      <c r="V33" s="755"/>
      <c r="W33" s="755"/>
      <c r="X33" s="755"/>
      <c r="Y33" s="755"/>
      <c r="Z33" s="755"/>
      <c r="AA33" s="755"/>
      <c r="AB33" s="755"/>
      <c r="AC33" s="755"/>
      <c r="AD33" s="755"/>
      <c r="AE33" s="755"/>
      <c r="AF33" s="755"/>
      <c r="AG33" s="755"/>
      <c r="AH33" s="755"/>
      <c r="AJ33" s="1050"/>
      <c r="AK33" s="1051"/>
      <c r="AL33" s="1051"/>
      <c r="AM33" s="1051"/>
      <c r="AN33" s="1051"/>
      <c r="AO33" s="1051"/>
      <c r="AP33" s="1051"/>
      <c r="AQ33" s="1051"/>
      <c r="AR33" s="1051"/>
      <c r="AS33" s="1051"/>
      <c r="AT33" s="1051"/>
      <c r="AU33" s="1052"/>
      <c r="AY33" s="668" t="s">
        <v>145</v>
      </c>
      <c r="AZ33" s="668" t="s">
        <v>137</v>
      </c>
      <c r="BA33" s="668">
        <f>X12</f>
        <v>0</v>
      </c>
      <c r="BB33" s="668" t="s">
        <v>21</v>
      </c>
      <c r="BC33" s="668">
        <f>P13</f>
        <v>0</v>
      </c>
      <c r="BD33" s="668" t="str">
        <f t="shared" si="1"/>
        <v/>
      </c>
      <c r="BE33" s="668" t="str">
        <f t="shared" si="2"/>
        <v/>
      </c>
    </row>
    <row r="34" spans="2:57" ht="15" customHeight="1">
      <c r="B34" s="1022"/>
      <c r="C34" s="1022"/>
      <c r="D34" s="1022"/>
      <c r="E34" s="1022"/>
      <c r="F34" s="1022"/>
      <c r="G34" s="1022"/>
      <c r="H34" s="1022"/>
      <c r="I34" s="1022"/>
      <c r="J34" s="1022"/>
      <c r="K34" s="1022"/>
      <c r="L34" s="1022"/>
      <c r="M34" s="1022"/>
      <c r="O34" s="1037" t="s">
        <v>146</v>
      </c>
      <c r="P34" s="1042"/>
      <c r="Q34" s="1042"/>
      <c r="R34" s="1042"/>
      <c r="S34" s="1042"/>
      <c r="T34" s="1042"/>
      <c r="U34" s="1042"/>
      <c r="V34" s="1042"/>
      <c r="W34" s="1043"/>
      <c r="X34" s="1021"/>
      <c r="Y34" s="1037" t="s">
        <v>147</v>
      </c>
      <c r="Z34" s="1042"/>
      <c r="AA34" s="1042"/>
      <c r="AB34" s="1042"/>
      <c r="AC34" s="1042"/>
      <c r="AD34" s="1042"/>
      <c r="AE34" s="1042"/>
      <c r="AF34" s="1042"/>
      <c r="AG34" s="1043"/>
      <c r="AH34" s="1021"/>
      <c r="AJ34" s="1050"/>
      <c r="AK34" s="1051"/>
      <c r="AL34" s="1051"/>
      <c r="AM34" s="1051"/>
      <c r="AN34" s="1051"/>
      <c r="AO34" s="1051"/>
      <c r="AP34" s="1051"/>
      <c r="AQ34" s="1051"/>
      <c r="AR34" s="1051"/>
      <c r="AS34" s="1051"/>
      <c r="AT34" s="1051"/>
      <c r="AU34" s="1052"/>
      <c r="AY34" s="668" t="s">
        <v>148</v>
      </c>
      <c r="AZ34" s="668" t="s">
        <v>23</v>
      </c>
      <c r="BA34" s="668">
        <f>AH10</f>
        <v>0</v>
      </c>
      <c r="BB34" s="668" t="s">
        <v>21</v>
      </c>
      <c r="BC34" s="668">
        <f>Z10</f>
        <v>0</v>
      </c>
      <c r="BD34" s="668" t="str">
        <f t="shared" si="1"/>
        <v/>
      </c>
      <c r="BE34" s="668" t="str">
        <f t="shared" si="2"/>
        <v/>
      </c>
    </row>
    <row r="35" spans="2:57" ht="15" customHeight="1">
      <c r="B35" s="1022"/>
      <c r="C35" s="1022"/>
      <c r="D35" s="1022"/>
      <c r="E35" s="1022"/>
      <c r="F35" s="1022"/>
      <c r="G35" s="1022"/>
      <c r="H35" s="1022"/>
      <c r="I35" s="1022"/>
      <c r="J35" s="1022"/>
      <c r="K35" s="1022"/>
      <c r="L35" s="1022"/>
      <c r="M35" s="1022"/>
      <c r="O35" s="629" t="s">
        <v>21</v>
      </c>
      <c r="P35" s="1023"/>
      <c r="Q35" s="1024"/>
      <c r="R35" s="1024"/>
      <c r="S35" s="1024"/>
      <c r="T35" s="1024"/>
      <c r="U35" s="1024"/>
      <c r="V35" s="1024"/>
      <c r="W35" s="1025"/>
      <c r="X35" s="1021"/>
      <c r="Y35" s="629" t="s">
        <v>21</v>
      </c>
      <c r="Z35" s="1023"/>
      <c r="AA35" s="1024"/>
      <c r="AB35" s="1024"/>
      <c r="AC35" s="1024"/>
      <c r="AD35" s="1024"/>
      <c r="AE35" s="1024"/>
      <c r="AF35" s="1024"/>
      <c r="AG35" s="1025"/>
      <c r="AH35" s="1021"/>
      <c r="AJ35" s="1050"/>
      <c r="AK35" s="1051"/>
      <c r="AL35" s="1051"/>
      <c r="AM35" s="1051"/>
      <c r="AN35" s="1051"/>
      <c r="AO35" s="1051"/>
      <c r="AP35" s="1051"/>
      <c r="AQ35" s="1051"/>
      <c r="AR35" s="1051"/>
      <c r="AS35" s="1051"/>
      <c r="AT35" s="1051"/>
      <c r="AU35" s="1052"/>
      <c r="AY35" s="668" t="s">
        <v>151</v>
      </c>
      <c r="AZ35" s="668" t="s">
        <v>23</v>
      </c>
      <c r="BA35" s="668">
        <f>AH11</f>
        <v>0</v>
      </c>
      <c r="BB35" s="668" t="s">
        <v>21</v>
      </c>
      <c r="BC35" s="668">
        <f>Z11</f>
        <v>0</v>
      </c>
      <c r="BD35" s="668" t="str">
        <f t="shared" si="1"/>
        <v/>
      </c>
      <c r="BE35" s="668" t="str">
        <f t="shared" si="2"/>
        <v/>
      </c>
    </row>
    <row r="36" spans="2:57" ht="15" customHeight="1">
      <c r="B36" s="1022"/>
      <c r="C36" s="1022"/>
      <c r="D36" s="1022"/>
      <c r="E36" s="1022"/>
      <c r="F36" s="1022"/>
      <c r="G36" s="1022"/>
      <c r="H36" s="1022"/>
      <c r="I36" s="1022"/>
      <c r="J36" s="1022"/>
      <c r="K36" s="1022"/>
      <c r="L36" s="1022"/>
      <c r="M36" s="1022"/>
      <c r="O36" s="629" t="s">
        <v>21</v>
      </c>
      <c r="P36" s="1023"/>
      <c r="Q36" s="1024"/>
      <c r="R36" s="1024"/>
      <c r="S36" s="1024"/>
      <c r="T36" s="1024"/>
      <c r="U36" s="1024"/>
      <c r="V36" s="1024"/>
      <c r="W36" s="1025"/>
      <c r="X36" s="1021"/>
      <c r="Y36" s="629" t="s">
        <v>21</v>
      </c>
      <c r="Z36" s="1063"/>
      <c r="AA36" s="1064"/>
      <c r="AB36" s="1064"/>
      <c r="AC36" s="1064"/>
      <c r="AD36" s="1064"/>
      <c r="AE36" s="1064"/>
      <c r="AF36" s="1064"/>
      <c r="AG36" s="1065"/>
      <c r="AH36" s="1021"/>
      <c r="AI36" s="17"/>
      <c r="AJ36" s="1050"/>
      <c r="AK36" s="1051"/>
      <c r="AL36" s="1051"/>
      <c r="AM36" s="1051"/>
      <c r="AN36" s="1051"/>
      <c r="AO36" s="1051"/>
      <c r="AP36" s="1051"/>
      <c r="AQ36" s="1051"/>
      <c r="AR36" s="1051"/>
      <c r="AS36" s="1051"/>
      <c r="AT36" s="1051"/>
      <c r="AU36" s="1052"/>
      <c r="AY36" s="668" t="s">
        <v>153</v>
      </c>
      <c r="AZ36" s="668" t="s">
        <v>23</v>
      </c>
      <c r="BA36" s="668">
        <f>AH12</f>
        <v>0</v>
      </c>
      <c r="BB36" s="668" t="s">
        <v>21</v>
      </c>
      <c r="BC36" s="668">
        <f>Z12</f>
        <v>0</v>
      </c>
      <c r="BD36" s="668" t="str">
        <f t="shared" si="1"/>
        <v/>
      </c>
      <c r="BE36" s="668" t="str">
        <f t="shared" si="2"/>
        <v/>
      </c>
    </row>
    <row r="37" spans="2:57" ht="15" customHeight="1">
      <c r="B37" s="1022"/>
      <c r="C37" s="1022"/>
      <c r="D37" s="1022"/>
      <c r="E37" s="1022"/>
      <c r="F37" s="1022"/>
      <c r="G37" s="1022"/>
      <c r="H37" s="1022"/>
      <c r="I37" s="1022"/>
      <c r="J37" s="1022"/>
      <c r="K37" s="1022"/>
      <c r="L37" s="1022"/>
      <c r="M37" s="1022"/>
      <c r="O37" s="629" t="s">
        <v>21</v>
      </c>
      <c r="P37" s="1023"/>
      <c r="Q37" s="1024"/>
      <c r="R37" s="1024"/>
      <c r="S37" s="1024"/>
      <c r="T37" s="1024"/>
      <c r="U37" s="1024"/>
      <c r="V37" s="1024"/>
      <c r="W37" s="1025"/>
      <c r="X37" s="1021"/>
      <c r="Y37" s="629" t="s">
        <v>21</v>
      </c>
      <c r="Z37" s="1023"/>
      <c r="AA37" s="1024"/>
      <c r="AB37" s="1024"/>
      <c r="AC37" s="1024"/>
      <c r="AD37" s="1024"/>
      <c r="AE37" s="1024"/>
      <c r="AF37" s="1024"/>
      <c r="AG37" s="1025"/>
      <c r="AH37" s="1021"/>
      <c r="AJ37" s="1053"/>
      <c r="AK37" s="1054"/>
      <c r="AL37" s="1054"/>
      <c r="AM37" s="1054"/>
      <c r="AN37" s="1054"/>
      <c r="AO37" s="1054"/>
      <c r="AP37" s="1054"/>
      <c r="AQ37" s="1054"/>
      <c r="AR37" s="1054"/>
      <c r="AS37" s="1054"/>
      <c r="AT37" s="1054"/>
      <c r="AU37" s="1055"/>
      <c r="AY37" s="668" t="s">
        <v>155</v>
      </c>
      <c r="AZ37" s="668" t="s">
        <v>155</v>
      </c>
      <c r="BA37" s="668" t="e">
        <f>#REF!</f>
        <v>#REF!</v>
      </c>
      <c r="BB37" s="668" t="s">
        <v>130</v>
      </c>
      <c r="BC37" s="668"/>
      <c r="BD37" s="668" t="str">
        <f t="shared" si="1"/>
        <v/>
      </c>
      <c r="BE37" s="668" t="str">
        <f t="shared" si="2"/>
        <v/>
      </c>
    </row>
    <row r="38" spans="2:57" ht="15" customHeight="1">
      <c r="B38" s="1022"/>
      <c r="C38" s="1022"/>
      <c r="D38" s="1022"/>
      <c r="E38" s="1022"/>
      <c r="F38" s="1022"/>
      <c r="G38" s="1022"/>
      <c r="H38" s="1022"/>
      <c r="I38" s="1022"/>
      <c r="J38" s="1022"/>
      <c r="K38" s="1022"/>
      <c r="L38" s="1022"/>
      <c r="M38" s="1022"/>
      <c r="O38" s="755"/>
      <c r="P38" s="755"/>
      <c r="Q38" s="755"/>
      <c r="R38" s="755"/>
      <c r="S38" s="755"/>
      <c r="T38" s="755"/>
      <c r="U38" s="755"/>
      <c r="V38" s="755"/>
      <c r="W38" s="755"/>
      <c r="X38" s="755"/>
      <c r="Y38" s="755"/>
      <c r="Z38" s="755"/>
      <c r="AA38" s="755"/>
      <c r="AB38" s="755"/>
      <c r="AC38" s="755"/>
      <c r="AD38" s="755"/>
      <c r="AE38" s="755"/>
      <c r="AF38" s="755"/>
      <c r="AG38" s="755"/>
      <c r="AH38" s="755"/>
      <c r="AY38" s="668" t="s">
        <v>156</v>
      </c>
      <c r="AZ38" s="668" t="s">
        <v>157</v>
      </c>
      <c r="BA38" s="668">
        <f>X14</f>
        <v>0</v>
      </c>
      <c r="BB38" s="668" t="s">
        <v>138</v>
      </c>
      <c r="BC38" s="668"/>
      <c r="BD38" s="668" t="str">
        <f t="shared" si="1"/>
        <v/>
      </c>
      <c r="BE38" s="668" t="str">
        <f t="shared" si="2"/>
        <v>Balance Sheet Score:  0</v>
      </c>
    </row>
    <row r="39" spans="2:57" ht="15" customHeight="1">
      <c r="B39" s="1022"/>
      <c r="C39" s="1022"/>
      <c r="D39" s="1022"/>
      <c r="E39" s="1022"/>
      <c r="F39" s="1022"/>
      <c r="G39" s="1022"/>
      <c r="H39" s="1022"/>
      <c r="I39" s="1022"/>
      <c r="J39" s="1022"/>
      <c r="K39" s="1022"/>
      <c r="L39" s="1022"/>
      <c r="M39" s="1022"/>
      <c r="O39" s="1037" t="s">
        <v>158</v>
      </c>
      <c r="P39" s="1042"/>
      <c r="Q39" s="1042"/>
      <c r="R39" s="1042"/>
      <c r="S39" s="1042"/>
      <c r="T39" s="1042"/>
      <c r="U39" s="1042"/>
      <c r="V39" s="1042"/>
      <c r="W39" s="1043"/>
      <c r="X39" s="1021"/>
      <c r="Y39" s="1037" t="s">
        <v>159</v>
      </c>
      <c r="Z39" s="1042"/>
      <c r="AA39" s="1042"/>
      <c r="AB39" s="1042"/>
      <c r="AC39" s="1042"/>
      <c r="AD39" s="1042"/>
      <c r="AE39" s="1042"/>
      <c r="AF39" s="1042"/>
      <c r="AG39" s="1043"/>
      <c r="AH39" s="1021"/>
      <c r="AJ39" s="1047"/>
      <c r="AK39" s="1048"/>
      <c r="AL39" s="1048"/>
      <c r="AM39" s="1048"/>
      <c r="AN39" s="1048"/>
      <c r="AO39" s="1048"/>
      <c r="AP39" s="1048"/>
      <c r="AQ39" s="1048"/>
      <c r="AR39" s="1048"/>
      <c r="AS39" s="1048"/>
      <c r="AT39" s="1048"/>
      <c r="AU39" s="1049"/>
      <c r="AY39" s="668" t="s">
        <v>160</v>
      </c>
      <c r="AZ39" s="668" t="s">
        <v>157</v>
      </c>
      <c r="BA39" s="668">
        <f>X16</f>
        <v>0</v>
      </c>
      <c r="BB39" s="668" t="s">
        <v>21</v>
      </c>
      <c r="BC39" s="668">
        <f>P17</f>
        <v>0</v>
      </c>
      <c r="BD39" s="668" t="str">
        <f t="shared" si="1"/>
        <v/>
      </c>
      <c r="BE39" s="668" t="str">
        <f t="shared" si="2"/>
        <v/>
      </c>
    </row>
    <row r="40" spans="2:57" ht="15" customHeight="1">
      <c r="B40" s="1022"/>
      <c r="C40" s="1022"/>
      <c r="D40" s="1022"/>
      <c r="E40" s="1022"/>
      <c r="F40" s="1022"/>
      <c r="G40" s="1022"/>
      <c r="H40" s="1022"/>
      <c r="I40" s="1022"/>
      <c r="J40" s="1022"/>
      <c r="K40" s="1022"/>
      <c r="L40" s="1022"/>
      <c r="M40" s="1022"/>
      <c r="O40" s="629" t="s">
        <v>21</v>
      </c>
      <c r="P40" s="1023"/>
      <c r="Q40" s="1024"/>
      <c r="R40" s="1024"/>
      <c r="S40" s="1024"/>
      <c r="T40" s="1024"/>
      <c r="U40" s="1024"/>
      <c r="V40" s="1024"/>
      <c r="W40" s="1025"/>
      <c r="X40" s="1021"/>
      <c r="Y40" s="629" t="s">
        <v>21</v>
      </c>
      <c r="Z40" s="1023"/>
      <c r="AA40" s="1024"/>
      <c r="AB40" s="1024"/>
      <c r="AC40" s="1024"/>
      <c r="AD40" s="1024"/>
      <c r="AE40" s="1024"/>
      <c r="AF40" s="1024"/>
      <c r="AG40" s="1025"/>
      <c r="AH40" s="1021"/>
      <c r="AJ40" s="1050"/>
      <c r="AK40" s="1051"/>
      <c r="AL40" s="1051"/>
      <c r="AM40" s="1051"/>
      <c r="AN40" s="1051"/>
      <c r="AO40" s="1051"/>
      <c r="AP40" s="1051"/>
      <c r="AQ40" s="1051"/>
      <c r="AR40" s="1051"/>
      <c r="AS40" s="1051"/>
      <c r="AT40" s="1051"/>
      <c r="AU40" s="1052"/>
      <c r="AY40" s="668" t="s">
        <v>162</v>
      </c>
      <c r="AZ40" s="668" t="s">
        <v>157</v>
      </c>
      <c r="BA40" s="668">
        <f>X17</f>
        <v>0</v>
      </c>
      <c r="BB40" s="668" t="s">
        <v>21</v>
      </c>
      <c r="BC40" s="668" t="e">
        <f>#REF!</f>
        <v>#REF!</v>
      </c>
      <c r="BD40" s="668" t="e">
        <f t="shared" si="1"/>
        <v>#REF!</v>
      </c>
      <c r="BE40" s="668" t="str">
        <f t="shared" si="2"/>
        <v/>
      </c>
    </row>
    <row r="41" spans="2:57" ht="15" customHeight="1">
      <c r="B41" s="1022"/>
      <c r="C41" s="1022"/>
      <c r="D41" s="1022"/>
      <c r="E41" s="1022"/>
      <c r="F41" s="1022"/>
      <c r="G41" s="1022"/>
      <c r="H41" s="1022"/>
      <c r="I41" s="1022"/>
      <c r="J41" s="1022"/>
      <c r="K41" s="1022"/>
      <c r="L41" s="1022"/>
      <c r="M41" s="1022"/>
      <c r="O41" s="629" t="s">
        <v>21</v>
      </c>
      <c r="P41" s="1023"/>
      <c r="Q41" s="1024"/>
      <c r="R41" s="1024"/>
      <c r="S41" s="1024"/>
      <c r="T41" s="1024"/>
      <c r="U41" s="1024"/>
      <c r="V41" s="1024"/>
      <c r="W41" s="1025"/>
      <c r="X41" s="1021"/>
      <c r="Y41" s="629" t="s">
        <v>21</v>
      </c>
      <c r="Z41" s="1023"/>
      <c r="AA41" s="1024"/>
      <c r="AB41" s="1024"/>
      <c r="AC41" s="1024"/>
      <c r="AD41" s="1024"/>
      <c r="AE41" s="1024"/>
      <c r="AF41" s="1024"/>
      <c r="AG41" s="1025"/>
      <c r="AH41" s="1021"/>
      <c r="AJ41" s="1050"/>
      <c r="AK41" s="1051"/>
      <c r="AL41" s="1051"/>
      <c r="AM41" s="1051"/>
      <c r="AN41" s="1051"/>
      <c r="AO41" s="1051"/>
      <c r="AP41" s="1051"/>
      <c r="AQ41" s="1051"/>
      <c r="AR41" s="1051"/>
      <c r="AS41" s="1051"/>
      <c r="AT41" s="1051"/>
      <c r="AU41" s="1052"/>
      <c r="AY41" s="668" t="s">
        <v>163</v>
      </c>
      <c r="AZ41" s="668" t="s">
        <v>164</v>
      </c>
      <c r="BA41" s="668">
        <f>AH14</f>
        <v>0</v>
      </c>
      <c r="BB41" s="668" t="s">
        <v>138</v>
      </c>
      <c r="BC41" s="668"/>
      <c r="BD41" s="668" t="str">
        <f t="shared" si="1"/>
        <v/>
      </c>
      <c r="BE41" s="668" t="str">
        <f t="shared" si="2"/>
        <v>Cash Flow Score:  0</v>
      </c>
    </row>
    <row r="42" spans="2:57" ht="15" customHeight="1">
      <c r="B42" s="1022"/>
      <c r="C42" s="1022"/>
      <c r="D42" s="1022"/>
      <c r="E42" s="1022"/>
      <c r="F42" s="1022"/>
      <c r="G42" s="1022"/>
      <c r="H42" s="1022"/>
      <c r="I42" s="1022"/>
      <c r="J42" s="1022"/>
      <c r="K42" s="1022"/>
      <c r="L42" s="1022"/>
      <c r="M42" s="1022"/>
      <c r="O42" s="629" t="s">
        <v>21</v>
      </c>
      <c r="P42" s="1023"/>
      <c r="Q42" s="1024"/>
      <c r="R42" s="1024"/>
      <c r="S42" s="1024"/>
      <c r="T42" s="1024"/>
      <c r="U42" s="1024"/>
      <c r="V42" s="1024"/>
      <c r="W42" s="1025"/>
      <c r="X42" s="1021"/>
      <c r="Y42" s="629" t="s">
        <v>21</v>
      </c>
      <c r="Z42" s="1023"/>
      <c r="AA42" s="1024"/>
      <c r="AB42" s="1024"/>
      <c r="AC42" s="1024"/>
      <c r="AD42" s="1024"/>
      <c r="AE42" s="1024"/>
      <c r="AF42" s="1024"/>
      <c r="AG42" s="1025"/>
      <c r="AH42" s="1021"/>
      <c r="AJ42" s="1050"/>
      <c r="AK42" s="1051"/>
      <c r="AL42" s="1051"/>
      <c r="AM42" s="1051"/>
      <c r="AN42" s="1051"/>
      <c r="AO42" s="1051"/>
      <c r="AP42" s="1051"/>
      <c r="AQ42" s="1051"/>
      <c r="AR42" s="1051"/>
      <c r="AS42" s="1051"/>
      <c r="AT42" s="1051"/>
      <c r="AU42" s="1052"/>
      <c r="AY42" s="668" t="s">
        <v>165</v>
      </c>
      <c r="AZ42" s="668" t="s">
        <v>164</v>
      </c>
      <c r="BA42" s="668">
        <f>AH15</f>
        <v>0</v>
      </c>
      <c r="BB42" s="668" t="s">
        <v>21</v>
      </c>
      <c r="BC42" s="668">
        <f>Z15</f>
        <v>0</v>
      </c>
      <c r="BD42" s="668" t="str">
        <f t="shared" si="1"/>
        <v/>
      </c>
      <c r="BE42" s="668" t="str">
        <f t="shared" si="2"/>
        <v/>
      </c>
    </row>
    <row r="43" spans="2:57" ht="15" customHeight="1">
      <c r="B43" s="1022"/>
      <c r="C43" s="1022"/>
      <c r="D43" s="1022"/>
      <c r="E43" s="1022"/>
      <c r="F43" s="1022"/>
      <c r="G43" s="1022"/>
      <c r="H43" s="1022"/>
      <c r="I43" s="1022"/>
      <c r="J43" s="1022"/>
      <c r="K43" s="1022"/>
      <c r="L43" s="1022"/>
      <c r="M43" s="1022"/>
      <c r="O43" s="755"/>
      <c r="P43" s="755"/>
      <c r="Q43" s="755"/>
      <c r="R43" s="755"/>
      <c r="S43" s="755"/>
      <c r="T43" s="755"/>
      <c r="U43" s="755"/>
      <c r="V43" s="755"/>
      <c r="W43" s="755"/>
      <c r="X43" s="755"/>
      <c r="Y43" s="755"/>
      <c r="Z43" s="755"/>
      <c r="AA43" s="755"/>
      <c r="AB43" s="755"/>
      <c r="AC43" s="755"/>
      <c r="AD43" s="755"/>
      <c r="AE43" s="755"/>
      <c r="AF43" s="755"/>
      <c r="AG43" s="755"/>
      <c r="AH43" s="755"/>
      <c r="AJ43" s="1050"/>
      <c r="AK43" s="1051"/>
      <c r="AL43" s="1051"/>
      <c r="AM43" s="1051"/>
      <c r="AN43" s="1051"/>
      <c r="AO43" s="1051"/>
      <c r="AP43" s="1051"/>
      <c r="AQ43" s="1051"/>
      <c r="AR43" s="1051"/>
      <c r="AS43" s="1051"/>
      <c r="AT43" s="1051"/>
      <c r="AU43" s="1052"/>
      <c r="AY43" s="668" t="s">
        <v>166</v>
      </c>
      <c r="AZ43" s="668" t="s">
        <v>164</v>
      </c>
      <c r="BA43" s="668">
        <f>AH16</f>
        <v>0</v>
      </c>
      <c r="BB43" s="668" t="s">
        <v>21</v>
      </c>
      <c r="BC43" s="668">
        <f>Z16</f>
        <v>0</v>
      </c>
      <c r="BD43" s="668" t="str">
        <f t="shared" si="1"/>
        <v/>
      </c>
      <c r="BE43" s="668" t="str">
        <f t="shared" si="2"/>
        <v/>
      </c>
    </row>
    <row r="44" spans="2:57" ht="15" customHeight="1">
      <c r="B44" s="1022"/>
      <c r="C44" s="1022"/>
      <c r="D44" s="1022"/>
      <c r="E44" s="1022"/>
      <c r="F44" s="1022"/>
      <c r="G44" s="1022"/>
      <c r="H44" s="1022"/>
      <c r="I44" s="1022"/>
      <c r="J44" s="1022"/>
      <c r="K44" s="1022"/>
      <c r="L44" s="1022"/>
      <c r="M44" s="1022"/>
      <c r="O44" s="1037" t="s">
        <v>167</v>
      </c>
      <c r="P44" s="1042"/>
      <c r="Q44" s="1042"/>
      <c r="R44" s="1042"/>
      <c r="S44" s="1042"/>
      <c r="T44" s="1042"/>
      <c r="U44" s="1042"/>
      <c r="V44" s="1042"/>
      <c r="W44" s="1043"/>
      <c r="X44" s="1021"/>
      <c r="Y44" s="1037" t="s">
        <v>168</v>
      </c>
      <c r="Z44" s="1042"/>
      <c r="AA44" s="1042"/>
      <c r="AB44" s="1042"/>
      <c r="AC44" s="1042"/>
      <c r="AD44" s="1042"/>
      <c r="AE44" s="1042"/>
      <c r="AF44" s="1042"/>
      <c r="AG44" s="1043"/>
      <c r="AH44" s="1021"/>
      <c r="AJ44" s="1050"/>
      <c r="AK44" s="1051"/>
      <c r="AL44" s="1051"/>
      <c r="AM44" s="1051"/>
      <c r="AN44" s="1051"/>
      <c r="AO44" s="1051"/>
      <c r="AP44" s="1051"/>
      <c r="AQ44" s="1051"/>
      <c r="AR44" s="1051"/>
      <c r="AS44" s="1051"/>
      <c r="AT44" s="1051"/>
      <c r="AU44" s="1052"/>
      <c r="AY44" s="668" t="s">
        <v>169</v>
      </c>
      <c r="AZ44" s="668" t="s">
        <v>169</v>
      </c>
      <c r="BA44" s="668" t="e">
        <f>#REF!</f>
        <v>#REF!</v>
      </c>
      <c r="BB44" s="668" t="s">
        <v>130</v>
      </c>
      <c r="BC44" s="668"/>
      <c r="BD44" s="668" t="str">
        <f t="shared" si="1"/>
        <v/>
      </c>
      <c r="BE44" s="668" t="str">
        <f t="shared" si="2"/>
        <v/>
      </c>
    </row>
    <row r="45" spans="2:57" ht="15" customHeight="1">
      <c r="B45" s="1022"/>
      <c r="C45" s="1022"/>
      <c r="D45" s="1022"/>
      <c r="E45" s="1022"/>
      <c r="F45" s="1022"/>
      <c r="G45" s="1022"/>
      <c r="H45" s="1022"/>
      <c r="I45" s="1022"/>
      <c r="J45" s="1022"/>
      <c r="K45" s="1022"/>
      <c r="L45" s="1022"/>
      <c r="M45" s="1022"/>
      <c r="O45" s="629" t="s">
        <v>21</v>
      </c>
      <c r="P45" s="1023"/>
      <c r="Q45" s="1024"/>
      <c r="R45" s="1024"/>
      <c r="S45" s="1024"/>
      <c r="T45" s="1024"/>
      <c r="U45" s="1024"/>
      <c r="V45" s="1024"/>
      <c r="W45" s="1025"/>
      <c r="X45" s="1021"/>
      <c r="Y45" s="629" t="s">
        <v>21</v>
      </c>
      <c r="Z45" s="1023"/>
      <c r="AA45" s="1024"/>
      <c r="AB45" s="1024"/>
      <c r="AC45" s="1024"/>
      <c r="AD45" s="1024"/>
      <c r="AE45" s="1024"/>
      <c r="AF45" s="1024"/>
      <c r="AG45" s="1025"/>
      <c r="AH45" s="1021"/>
      <c r="AJ45" s="1050"/>
      <c r="AK45" s="1051"/>
      <c r="AL45" s="1051"/>
      <c r="AM45" s="1051"/>
      <c r="AN45" s="1051"/>
      <c r="AO45" s="1051"/>
      <c r="AP45" s="1051"/>
      <c r="AQ45" s="1051"/>
      <c r="AR45" s="1051"/>
      <c r="AS45" s="1051"/>
      <c r="AT45" s="1051"/>
      <c r="AU45" s="1052"/>
      <c r="AY45" s="668" t="s">
        <v>172</v>
      </c>
      <c r="AZ45" s="668" t="s">
        <v>12</v>
      </c>
      <c r="BA45" s="668">
        <f>X19</f>
        <v>0</v>
      </c>
      <c r="BB45" s="668" t="s">
        <v>138</v>
      </c>
      <c r="BC45" s="668"/>
      <c r="BD45" s="668" t="str">
        <f t="shared" si="1"/>
        <v/>
      </c>
      <c r="BE45" s="668" t="str">
        <f t="shared" si="2"/>
        <v>Differentiation Score:  0</v>
      </c>
    </row>
    <row r="46" spans="2:57" ht="15" customHeight="1">
      <c r="B46" s="1022"/>
      <c r="C46" s="1022"/>
      <c r="D46" s="1022"/>
      <c r="E46" s="1022"/>
      <c r="F46" s="1022"/>
      <c r="G46" s="1022"/>
      <c r="H46" s="1022"/>
      <c r="I46" s="1022"/>
      <c r="J46" s="1022"/>
      <c r="K46" s="1022"/>
      <c r="L46" s="1022"/>
      <c r="M46" s="1022"/>
      <c r="O46" s="629" t="s">
        <v>21</v>
      </c>
      <c r="P46" s="1023"/>
      <c r="Q46" s="1024"/>
      <c r="R46" s="1024"/>
      <c r="S46" s="1024"/>
      <c r="T46" s="1024"/>
      <c r="U46" s="1024"/>
      <c r="V46" s="1024"/>
      <c r="W46" s="1025"/>
      <c r="X46" s="1021"/>
      <c r="Y46" s="629" t="s">
        <v>21</v>
      </c>
      <c r="Z46" s="1023"/>
      <c r="AA46" s="1024"/>
      <c r="AB46" s="1024"/>
      <c r="AC46" s="1024"/>
      <c r="AD46" s="1024"/>
      <c r="AE46" s="1024"/>
      <c r="AF46" s="1024"/>
      <c r="AG46" s="1025"/>
      <c r="AH46" s="1021"/>
      <c r="AI46" s="679"/>
      <c r="AJ46" s="1050"/>
      <c r="AK46" s="1051"/>
      <c r="AL46" s="1051"/>
      <c r="AM46" s="1051"/>
      <c r="AN46" s="1051"/>
      <c r="AO46" s="1051"/>
      <c r="AP46" s="1051"/>
      <c r="AQ46" s="1051"/>
      <c r="AR46" s="1051"/>
      <c r="AS46" s="1051"/>
      <c r="AT46" s="1051"/>
      <c r="AU46" s="1052"/>
      <c r="AY46" s="668" t="s">
        <v>175</v>
      </c>
      <c r="AZ46" s="668" t="s">
        <v>12</v>
      </c>
      <c r="BA46" s="668">
        <f>X20</f>
        <v>0</v>
      </c>
      <c r="BB46" s="668" t="s">
        <v>21</v>
      </c>
      <c r="BC46" s="668">
        <f>P20</f>
        <v>0</v>
      </c>
      <c r="BD46" s="668" t="str">
        <f t="shared" si="1"/>
        <v/>
      </c>
      <c r="BE46" s="668" t="str">
        <f t="shared" si="2"/>
        <v/>
      </c>
    </row>
    <row r="47" spans="2:57" ht="15" customHeight="1">
      <c r="B47" s="1022"/>
      <c r="C47" s="1022"/>
      <c r="D47" s="1022"/>
      <c r="E47" s="1022"/>
      <c r="F47" s="1022"/>
      <c r="G47" s="1022"/>
      <c r="H47" s="1022"/>
      <c r="I47" s="1022"/>
      <c r="J47" s="1022"/>
      <c r="K47" s="1022"/>
      <c r="L47" s="1022"/>
      <c r="M47" s="1022"/>
      <c r="O47" s="629" t="s">
        <v>21</v>
      </c>
      <c r="P47" s="1023"/>
      <c r="Q47" s="1024"/>
      <c r="R47" s="1024"/>
      <c r="S47" s="1024"/>
      <c r="T47" s="1024"/>
      <c r="U47" s="1024"/>
      <c r="V47" s="1024"/>
      <c r="W47" s="1025"/>
      <c r="X47" s="1021"/>
      <c r="Y47" s="629" t="s">
        <v>21</v>
      </c>
      <c r="Z47" s="1023"/>
      <c r="AA47" s="1024"/>
      <c r="AB47" s="1024"/>
      <c r="AC47" s="1024"/>
      <c r="AD47" s="1024"/>
      <c r="AE47" s="1024"/>
      <c r="AF47" s="1024"/>
      <c r="AG47" s="1025"/>
      <c r="AH47" s="1021"/>
      <c r="AJ47" s="1053"/>
      <c r="AK47" s="1054"/>
      <c r="AL47" s="1054"/>
      <c r="AM47" s="1054"/>
      <c r="AN47" s="1054"/>
      <c r="AO47" s="1054"/>
      <c r="AP47" s="1054"/>
      <c r="AQ47" s="1054"/>
      <c r="AR47" s="1054"/>
      <c r="AS47" s="1054"/>
      <c r="AT47" s="1054"/>
      <c r="AU47" s="1055"/>
      <c r="AY47" s="668" t="s">
        <v>178</v>
      </c>
      <c r="AZ47" s="668" t="s">
        <v>12</v>
      </c>
      <c r="BA47" s="668">
        <f>X21</f>
        <v>0</v>
      </c>
      <c r="BB47" s="668" t="s">
        <v>21</v>
      </c>
      <c r="BC47" s="668">
        <f>P21</f>
        <v>0</v>
      </c>
      <c r="BD47" s="668" t="str">
        <f t="shared" si="1"/>
        <v/>
      </c>
      <c r="BE47" s="668" t="str">
        <f t="shared" si="2"/>
        <v/>
      </c>
    </row>
    <row r="48" spans="2:57" ht="15" customHeight="1">
      <c r="B48" s="1022"/>
      <c r="C48" s="1022"/>
      <c r="D48" s="1022"/>
      <c r="E48" s="1022"/>
      <c r="F48" s="1022"/>
      <c r="G48" s="1022"/>
      <c r="H48" s="1022"/>
      <c r="I48" s="1022"/>
      <c r="J48" s="1022"/>
      <c r="K48" s="1022"/>
      <c r="L48" s="1022"/>
      <c r="M48" s="1022"/>
      <c r="O48" s="755"/>
      <c r="P48" s="755"/>
      <c r="Q48" s="755"/>
      <c r="R48" s="755"/>
      <c r="S48" s="755"/>
      <c r="T48" s="755"/>
      <c r="U48" s="755"/>
      <c r="V48" s="755"/>
      <c r="W48" s="755"/>
      <c r="X48" s="755"/>
      <c r="Y48" s="755"/>
      <c r="Z48" s="755"/>
      <c r="AA48" s="755"/>
      <c r="AB48" s="755"/>
      <c r="AC48" s="755"/>
      <c r="AD48" s="755"/>
      <c r="AE48" s="755"/>
      <c r="AF48" s="755"/>
      <c r="AG48" s="755"/>
      <c r="AH48" s="755"/>
      <c r="AY48" s="668" t="s">
        <v>179</v>
      </c>
      <c r="AZ48" s="668" t="s">
        <v>12</v>
      </c>
      <c r="BA48" s="668">
        <f>X22</f>
        <v>0</v>
      </c>
      <c r="BB48" s="668" t="s">
        <v>21</v>
      </c>
      <c r="BC48" s="668">
        <f>P22</f>
        <v>0</v>
      </c>
      <c r="BD48" s="668" t="str">
        <f t="shared" si="1"/>
        <v/>
      </c>
      <c r="BE48" s="668" t="str">
        <f t="shared" si="2"/>
        <v/>
      </c>
    </row>
    <row r="49" spans="2:158" ht="15" customHeight="1">
      <c r="B49" s="1022"/>
      <c r="C49" s="1022"/>
      <c r="D49" s="1022"/>
      <c r="E49" s="1022"/>
      <c r="F49" s="1022"/>
      <c r="G49" s="1022"/>
      <c r="H49" s="1022"/>
      <c r="I49" s="1022"/>
      <c r="J49" s="1022"/>
      <c r="K49" s="1022"/>
      <c r="L49" s="1022"/>
      <c r="M49" s="1022"/>
      <c r="O49" s="1037" t="s">
        <v>180</v>
      </c>
      <c r="P49" s="1042"/>
      <c r="Q49" s="1042"/>
      <c r="R49" s="1042"/>
      <c r="S49" s="1042"/>
      <c r="T49" s="1042"/>
      <c r="U49" s="1042"/>
      <c r="V49" s="1042"/>
      <c r="W49" s="1043"/>
      <c r="X49" s="1021"/>
      <c r="Y49" s="1037" t="s">
        <v>181</v>
      </c>
      <c r="Z49" s="1042"/>
      <c r="AA49" s="1042"/>
      <c r="AB49" s="1042"/>
      <c r="AC49" s="1042"/>
      <c r="AD49" s="1042"/>
      <c r="AE49" s="1042"/>
      <c r="AF49" s="1042"/>
      <c r="AG49" s="1043"/>
      <c r="AH49" s="1021"/>
      <c r="AJ49" s="1047"/>
      <c r="AK49" s="1048"/>
      <c r="AL49" s="1048"/>
      <c r="AM49" s="1048"/>
      <c r="AN49" s="1048"/>
      <c r="AO49" s="1048"/>
      <c r="AP49" s="1048"/>
      <c r="AQ49" s="1048"/>
      <c r="AR49" s="1048"/>
      <c r="AS49" s="1048"/>
      <c r="AT49" s="1048"/>
      <c r="AU49" s="1049"/>
      <c r="AY49" s="668" t="s">
        <v>182</v>
      </c>
      <c r="AZ49" s="668" t="s">
        <v>183</v>
      </c>
      <c r="BA49" s="668">
        <f>AH20</f>
        <v>0</v>
      </c>
      <c r="BB49" s="668" t="s">
        <v>21</v>
      </c>
      <c r="BC49" s="668">
        <f>Z20</f>
        <v>0</v>
      </c>
      <c r="BD49" s="668" t="str">
        <f t="shared" si="1"/>
        <v/>
      </c>
      <c r="BE49" s="668" t="str">
        <f t="shared" si="2"/>
        <v/>
      </c>
    </row>
    <row r="50" spans="2:158" ht="15" customHeight="1">
      <c r="B50" s="1022"/>
      <c r="C50" s="1022"/>
      <c r="D50" s="1022"/>
      <c r="E50" s="1022"/>
      <c r="F50" s="1022"/>
      <c r="G50" s="1022"/>
      <c r="H50" s="1022"/>
      <c r="I50" s="1022"/>
      <c r="J50" s="1022"/>
      <c r="K50" s="1022"/>
      <c r="L50" s="1022"/>
      <c r="M50" s="1022"/>
      <c r="O50" s="629" t="s">
        <v>21</v>
      </c>
      <c r="P50" s="1023"/>
      <c r="Q50" s="1024"/>
      <c r="R50" s="1024"/>
      <c r="S50" s="1024"/>
      <c r="T50" s="1024"/>
      <c r="U50" s="1024"/>
      <c r="V50" s="1024"/>
      <c r="W50" s="1025"/>
      <c r="X50" s="1021"/>
      <c r="Y50" s="629" t="s">
        <v>21</v>
      </c>
      <c r="Z50" s="1023"/>
      <c r="AA50" s="1024"/>
      <c r="AB50" s="1024"/>
      <c r="AC50" s="1024"/>
      <c r="AD50" s="1024"/>
      <c r="AE50" s="1024"/>
      <c r="AF50" s="1024"/>
      <c r="AG50" s="1025"/>
      <c r="AH50" s="1021"/>
      <c r="AJ50" s="1050"/>
      <c r="AK50" s="1051"/>
      <c r="AL50" s="1051"/>
      <c r="AM50" s="1051"/>
      <c r="AN50" s="1051"/>
      <c r="AO50" s="1051"/>
      <c r="AP50" s="1051"/>
      <c r="AQ50" s="1051"/>
      <c r="AR50" s="1051"/>
      <c r="AS50" s="1051"/>
      <c r="AT50" s="1051"/>
      <c r="AU50" s="1052"/>
      <c r="AY50" s="668" t="s">
        <v>186</v>
      </c>
      <c r="AZ50" s="668" t="s">
        <v>183</v>
      </c>
      <c r="BA50" s="668">
        <f>AH21</f>
        <v>0</v>
      </c>
      <c r="BB50" s="668" t="s">
        <v>21</v>
      </c>
      <c r="BC50" s="668">
        <f>Z21</f>
        <v>0</v>
      </c>
      <c r="BD50" s="668" t="str">
        <f t="shared" si="1"/>
        <v/>
      </c>
      <c r="BE50" s="668" t="str">
        <f t="shared" si="2"/>
        <v/>
      </c>
    </row>
    <row r="51" spans="2:158" ht="15" customHeight="1">
      <c r="B51" s="1022"/>
      <c r="C51" s="1022"/>
      <c r="D51" s="1022"/>
      <c r="E51" s="1022"/>
      <c r="F51" s="1022"/>
      <c r="G51" s="1022"/>
      <c r="H51" s="1022"/>
      <c r="I51" s="1022"/>
      <c r="J51" s="1022"/>
      <c r="K51" s="1022"/>
      <c r="L51" s="1022"/>
      <c r="M51" s="1022"/>
      <c r="O51" s="629" t="s">
        <v>21</v>
      </c>
      <c r="P51" s="1023"/>
      <c r="Q51" s="1024"/>
      <c r="R51" s="1024"/>
      <c r="S51" s="1024"/>
      <c r="T51" s="1024"/>
      <c r="U51" s="1024"/>
      <c r="V51" s="1024"/>
      <c r="W51" s="1025"/>
      <c r="X51" s="1021"/>
      <c r="Y51" s="629" t="s">
        <v>21</v>
      </c>
      <c r="Z51" s="1023"/>
      <c r="AA51" s="1024"/>
      <c r="AB51" s="1024"/>
      <c r="AC51" s="1024"/>
      <c r="AD51" s="1024"/>
      <c r="AE51" s="1024"/>
      <c r="AF51" s="1024"/>
      <c r="AG51" s="1025"/>
      <c r="AH51" s="1021"/>
      <c r="AJ51" s="1050"/>
      <c r="AK51" s="1051"/>
      <c r="AL51" s="1051"/>
      <c r="AM51" s="1051"/>
      <c r="AN51" s="1051"/>
      <c r="AO51" s="1051"/>
      <c r="AP51" s="1051"/>
      <c r="AQ51" s="1051"/>
      <c r="AR51" s="1051"/>
      <c r="AS51" s="1051"/>
      <c r="AT51" s="1051"/>
      <c r="AU51" s="1052"/>
      <c r="AY51" s="668" t="s">
        <v>189</v>
      </c>
      <c r="AZ51" s="668" t="s">
        <v>183</v>
      </c>
      <c r="BA51" s="668">
        <f>AH22</f>
        <v>0</v>
      </c>
      <c r="BB51" s="668" t="s">
        <v>21</v>
      </c>
      <c r="BC51" s="668">
        <f>Z22</f>
        <v>0</v>
      </c>
      <c r="BD51" s="668" t="str">
        <f t="shared" si="1"/>
        <v/>
      </c>
      <c r="BE51" s="668" t="str">
        <f t="shared" si="2"/>
        <v/>
      </c>
    </row>
    <row r="52" spans="2:158" ht="15" customHeight="1">
      <c r="B52" s="1022"/>
      <c r="C52" s="1022"/>
      <c r="D52" s="1022"/>
      <c r="E52" s="1022"/>
      <c r="F52" s="1022"/>
      <c r="G52" s="1022"/>
      <c r="H52" s="1022"/>
      <c r="I52" s="1022"/>
      <c r="J52" s="1022"/>
      <c r="K52" s="1022"/>
      <c r="L52" s="1022"/>
      <c r="M52" s="1022"/>
      <c r="O52" s="629" t="s">
        <v>21</v>
      </c>
      <c r="P52" s="1023"/>
      <c r="Q52" s="1024"/>
      <c r="R52" s="1024"/>
      <c r="S52" s="1024"/>
      <c r="T52" s="1024"/>
      <c r="U52" s="1024"/>
      <c r="V52" s="1024"/>
      <c r="W52" s="1025"/>
      <c r="X52" s="1021"/>
      <c r="Y52" s="629" t="s">
        <v>21</v>
      </c>
      <c r="Z52" s="1023"/>
      <c r="AA52" s="1024"/>
      <c r="AB52" s="1024"/>
      <c r="AC52" s="1024"/>
      <c r="AD52" s="1024"/>
      <c r="AE52" s="1024"/>
      <c r="AF52" s="1024"/>
      <c r="AG52" s="1025"/>
      <c r="AH52" s="1021"/>
      <c r="AJ52" s="1050"/>
      <c r="AK52" s="1051"/>
      <c r="AL52" s="1051"/>
      <c r="AM52" s="1051"/>
      <c r="AN52" s="1051"/>
      <c r="AO52" s="1051"/>
      <c r="AP52" s="1051"/>
      <c r="AQ52" s="1051"/>
      <c r="AR52" s="1051"/>
      <c r="AS52" s="1051"/>
      <c r="AT52" s="1051"/>
      <c r="AU52" s="1052"/>
      <c r="AY52" s="668" t="s">
        <v>192</v>
      </c>
      <c r="AZ52" s="668" t="s">
        <v>192</v>
      </c>
      <c r="BA52" s="668" t="e">
        <f>#REF!</f>
        <v>#REF!</v>
      </c>
      <c r="BB52" s="668" t="s">
        <v>130</v>
      </c>
      <c r="BC52" s="668"/>
      <c r="BD52" s="668" t="str">
        <f t="shared" si="1"/>
        <v/>
      </c>
      <c r="BE52" s="668" t="str">
        <f t="shared" si="2"/>
        <v/>
      </c>
    </row>
    <row r="53" spans="2:158" ht="15" customHeight="1">
      <c r="B53" s="1022"/>
      <c r="C53" s="1022"/>
      <c r="D53" s="1022"/>
      <c r="E53" s="1022"/>
      <c r="F53" s="1022"/>
      <c r="G53" s="1022"/>
      <c r="H53" s="1022"/>
      <c r="I53" s="1022"/>
      <c r="J53" s="1022"/>
      <c r="K53" s="1022"/>
      <c r="L53" s="1022"/>
      <c r="M53" s="1022"/>
      <c r="O53" s="755"/>
      <c r="P53" s="755"/>
      <c r="Q53" s="755"/>
      <c r="R53" s="755"/>
      <c r="S53" s="755"/>
      <c r="T53" s="755"/>
      <c r="U53" s="755"/>
      <c r="V53" s="755"/>
      <c r="W53" s="755"/>
      <c r="X53" s="755"/>
      <c r="Y53" s="755"/>
      <c r="Z53" s="755"/>
      <c r="AA53" s="755"/>
      <c r="AB53" s="755"/>
      <c r="AC53" s="755"/>
      <c r="AD53" s="755"/>
      <c r="AE53" s="755"/>
      <c r="AF53" s="755"/>
      <c r="AG53" s="755"/>
      <c r="AH53" s="755"/>
      <c r="AJ53" s="1050"/>
      <c r="AK53" s="1051"/>
      <c r="AL53" s="1051"/>
      <c r="AM53" s="1051"/>
      <c r="AN53" s="1051"/>
      <c r="AO53" s="1051"/>
      <c r="AP53" s="1051"/>
      <c r="AQ53" s="1051"/>
      <c r="AR53" s="1051"/>
      <c r="AS53" s="1051"/>
      <c r="AT53" s="1051"/>
      <c r="AU53" s="1052"/>
      <c r="AY53" s="668" t="s">
        <v>193</v>
      </c>
      <c r="AZ53" s="668" t="s">
        <v>13</v>
      </c>
      <c r="BA53" s="668">
        <f>X24</f>
        <v>0</v>
      </c>
      <c r="BB53" s="668" t="s">
        <v>138</v>
      </c>
      <c r="BC53" s="668"/>
      <c r="BD53" s="668" t="str">
        <f t="shared" si="1"/>
        <v/>
      </c>
      <c r="BE53" s="668" t="str">
        <f t="shared" si="2"/>
        <v>Robustness Score:  0</v>
      </c>
    </row>
    <row r="54" spans="2:158" ht="15" customHeight="1">
      <c r="B54" s="1022"/>
      <c r="C54" s="1022"/>
      <c r="D54" s="1022"/>
      <c r="E54" s="1022"/>
      <c r="F54" s="1022"/>
      <c r="G54" s="1022"/>
      <c r="H54" s="1022"/>
      <c r="I54" s="1022"/>
      <c r="J54" s="1022"/>
      <c r="K54" s="1022"/>
      <c r="L54" s="1022"/>
      <c r="M54" s="1022"/>
      <c r="O54" s="1037" t="s">
        <v>194</v>
      </c>
      <c r="P54" s="1042"/>
      <c r="Q54" s="1042"/>
      <c r="R54" s="1042"/>
      <c r="S54" s="1042"/>
      <c r="T54" s="1042"/>
      <c r="U54" s="1042"/>
      <c r="V54" s="1042"/>
      <c r="W54" s="1043"/>
      <c r="X54" s="1021"/>
      <c r="Y54" s="1037" t="s">
        <v>195</v>
      </c>
      <c r="Z54" s="1042"/>
      <c r="AA54" s="1042"/>
      <c r="AB54" s="1042"/>
      <c r="AC54" s="1042"/>
      <c r="AD54" s="1042"/>
      <c r="AE54" s="1042"/>
      <c r="AF54" s="1042"/>
      <c r="AG54" s="1043"/>
      <c r="AH54" s="1021"/>
      <c r="AJ54" s="1050"/>
      <c r="AK54" s="1051"/>
      <c r="AL54" s="1051"/>
      <c r="AM54" s="1051"/>
      <c r="AN54" s="1051"/>
      <c r="AO54" s="1051"/>
      <c r="AP54" s="1051"/>
      <c r="AQ54" s="1051"/>
      <c r="AR54" s="1051"/>
      <c r="AS54" s="1051"/>
      <c r="AT54" s="1051"/>
      <c r="AU54" s="1052"/>
      <c r="AY54" s="668" t="s">
        <v>196</v>
      </c>
      <c r="AZ54" s="668" t="s">
        <v>13</v>
      </c>
      <c r="BA54" s="668">
        <f>X26</f>
        <v>0</v>
      </c>
      <c r="BB54" s="668" t="s">
        <v>21</v>
      </c>
      <c r="BC54" s="668">
        <f>P26</f>
        <v>0</v>
      </c>
      <c r="BD54" s="668" t="str">
        <f t="shared" si="1"/>
        <v/>
      </c>
      <c r="BE54" s="668" t="str">
        <f t="shared" si="2"/>
        <v/>
      </c>
    </row>
    <row r="55" spans="2:158" ht="15" customHeight="1">
      <c r="B55" s="1022"/>
      <c r="C55" s="1022"/>
      <c r="D55" s="1022"/>
      <c r="E55" s="1022"/>
      <c r="F55" s="1022"/>
      <c r="G55" s="1022"/>
      <c r="H55" s="1022"/>
      <c r="I55" s="1022"/>
      <c r="J55" s="1022"/>
      <c r="K55" s="1022"/>
      <c r="L55" s="1022"/>
      <c r="M55" s="1022"/>
      <c r="O55" s="629" t="s">
        <v>21</v>
      </c>
      <c r="P55" s="1023"/>
      <c r="Q55" s="1024"/>
      <c r="R55" s="1024"/>
      <c r="S55" s="1024"/>
      <c r="T55" s="1024"/>
      <c r="U55" s="1024"/>
      <c r="V55" s="1024"/>
      <c r="W55" s="1025"/>
      <c r="X55" s="1021"/>
      <c r="Y55" s="629" t="s">
        <v>21</v>
      </c>
      <c r="Z55" s="1023"/>
      <c r="AA55" s="1024"/>
      <c r="AB55" s="1024"/>
      <c r="AC55" s="1024"/>
      <c r="AD55" s="1024"/>
      <c r="AE55" s="1024"/>
      <c r="AF55" s="1024"/>
      <c r="AG55" s="1025"/>
      <c r="AH55" s="1021"/>
      <c r="AJ55" s="1050"/>
      <c r="AK55" s="1051"/>
      <c r="AL55" s="1051"/>
      <c r="AM55" s="1051"/>
      <c r="AN55" s="1051"/>
      <c r="AO55" s="1051"/>
      <c r="AP55" s="1051"/>
      <c r="AQ55" s="1051"/>
      <c r="AR55" s="1051"/>
      <c r="AS55" s="1051"/>
      <c r="AT55" s="1051"/>
      <c r="AU55" s="1052"/>
      <c r="AY55" s="668" t="s">
        <v>199</v>
      </c>
      <c r="AZ55" s="668" t="s">
        <v>13</v>
      </c>
      <c r="BA55" s="668">
        <f>X27</f>
        <v>0</v>
      </c>
      <c r="BB55" s="668" t="s">
        <v>21</v>
      </c>
      <c r="BC55" s="668">
        <f>P27</f>
        <v>0</v>
      </c>
      <c r="BD55" s="668" t="str">
        <f t="shared" si="1"/>
        <v/>
      </c>
      <c r="BE55" s="668" t="str">
        <f t="shared" si="2"/>
        <v/>
      </c>
    </row>
    <row r="56" spans="2:158" ht="15" customHeight="1">
      <c r="B56" s="1022"/>
      <c r="C56" s="1022"/>
      <c r="D56" s="1022"/>
      <c r="E56" s="1022"/>
      <c r="F56" s="1022"/>
      <c r="G56" s="1022"/>
      <c r="H56" s="1022"/>
      <c r="I56" s="1022"/>
      <c r="J56" s="1022"/>
      <c r="K56" s="1022"/>
      <c r="L56" s="1022"/>
      <c r="M56" s="1022"/>
      <c r="O56" s="629" t="s">
        <v>21</v>
      </c>
      <c r="P56" s="1023"/>
      <c r="Q56" s="1024"/>
      <c r="R56" s="1024"/>
      <c r="S56" s="1024"/>
      <c r="T56" s="1024"/>
      <c r="U56" s="1024"/>
      <c r="V56" s="1024"/>
      <c r="W56" s="1025"/>
      <c r="X56" s="1021"/>
      <c r="Y56" s="629" t="s">
        <v>21</v>
      </c>
      <c r="Z56" s="1023"/>
      <c r="AA56" s="1024"/>
      <c r="AB56" s="1024"/>
      <c r="AC56" s="1024"/>
      <c r="AD56" s="1024"/>
      <c r="AE56" s="1024"/>
      <c r="AF56" s="1024"/>
      <c r="AG56" s="1025"/>
      <c r="AH56" s="1021"/>
      <c r="AJ56" s="1050"/>
      <c r="AK56" s="1051"/>
      <c r="AL56" s="1051"/>
      <c r="AM56" s="1051"/>
      <c r="AN56" s="1051"/>
      <c r="AO56" s="1051"/>
      <c r="AP56" s="1051"/>
      <c r="AQ56" s="1051"/>
      <c r="AR56" s="1051"/>
      <c r="AS56" s="1051"/>
      <c r="AT56" s="1051"/>
      <c r="AU56" s="1052"/>
      <c r="AY56" s="668" t="s">
        <v>202</v>
      </c>
      <c r="AZ56" s="668" t="s">
        <v>26</v>
      </c>
      <c r="BA56" s="668">
        <f>AH24</f>
        <v>0</v>
      </c>
      <c r="BB56" s="668" t="s">
        <v>138</v>
      </c>
      <c r="BC56" s="668"/>
      <c r="BD56" s="668" t="str">
        <f t="shared" si="1"/>
        <v/>
      </c>
      <c r="BE56" s="668" t="str">
        <f t="shared" si="2"/>
        <v>Longevity Score:  0</v>
      </c>
    </row>
    <row r="57" spans="2:158" ht="15" customHeight="1">
      <c r="B57" s="1022"/>
      <c r="C57" s="1022"/>
      <c r="D57" s="1022"/>
      <c r="E57" s="1022"/>
      <c r="F57" s="1022"/>
      <c r="G57" s="1022"/>
      <c r="H57" s="1022"/>
      <c r="I57" s="1022"/>
      <c r="J57" s="1022"/>
      <c r="K57" s="1022"/>
      <c r="L57" s="1022"/>
      <c r="M57" s="1022"/>
      <c r="O57" s="629" t="s">
        <v>21</v>
      </c>
      <c r="P57" s="1023"/>
      <c r="Q57" s="1024"/>
      <c r="R57" s="1024"/>
      <c r="S57" s="1024"/>
      <c r="T57" s="1024"/>
      <c r="U57" s="1024"/>
      <c r="V57" s="1024"/>
      <c r="W57" s="1025"/>
      <c r="X57" s="1021"/>
      <c r="Y57" s="629" t="s">
        <v>21</v>
      </c>
      <c r="Z57" s="1023"/>
      <c r="AA57" s="1024"/>
      <c r="AB57" s="1024"/>
      <c r="AC57" s="1024"/>
      <c r="AD57" s="1024"/>
      <c r="AE57" s="1024"/>
      <c r="AF57" s="1024"/>
      <c r="AG57" s="1025"/>
      <c r="AH57" s="1021"/>
      <c r="AJ57" s="1053"/>
      <c r="AK57" s="1054"/>
      <c r="AL57" s="1054"/>
      <c r="AM57" s="1054"/>
      <c r="AN57" s="1054"/>
      <c r="AO57" s="1054"/>
      <c r="AP57" s="1054"/>
      <c r="AQ57" s="1054"/>
      <c r="AR57" s="1054"/>
      <c r="AS57" s="1054"/>
      <c r="AT57" s="1054"/>
      <c r="AU57" s="1055"/>
      <c r="AY57" s="668" t="s">
        <v>204</v>
      </c>
      <c r="AZ57" s="668" t="s">
        <v>26</v>
      </c>
      <c r="BA57" s="668">
        <f>AH25</f>
        <v>0</v>
      </c>
      <c r="BB57" s="668" t="s">
        <v>21</v>
      </c>
      <c r="BC57" s="668">
        <f>Z25</f>
        <v>0</v>
      </c>
      <c r="BD57" s="668" t="str">
        <f t="shared" si="1"/>
        <v/>
      </c>
      <c r="BE57" s="668" t="str">
        <f t="shared" si="2"/>
        <v/>
      </c>
    </row>
    <row r="58" spans="2:158" ht="16">
      <c r="B58" s="1022"/>
      <c r="C58" s="1022"/>
      <c r="D58" s="1022"/>
      <c r="E58" s="1022"/>
      <c r="F58" s="1022"/>
      <c r="G58" s="1022"/>
      <c r="H58" s="1022"/>
      <c r="I58" s="1022"/>
      <c r="J58" s="1022"/>
      <c r="K58" s="1022"/>
      <c r="L58" s="1022"/>
      <c r="M58" s="1022"/>
      <c r="O58" s="676"/>
      <c r="P58" s="756"/>
      <c r="Q58" s="756"/>
      <c r="R58" s="756"/>
      <c r="S58" s="756"/>
      <c r="T58" s="756"/>
      <c r="U58" s="756"/>
      <c r="V58" s="756"/>
      <c r="W58" s="756"/>
      <c r="X58" s="675"/>
      <c r="Y58" s="676"/>
      <c r="Z58" s="756"/>
      <c r="AA58" s="756"/>
      <c r="AB58" s="756"/>
      <c r="AC58" s="756"/>
      <c r="AD58" s="756"/>
      <c r="AE58" s="756"/>
      <c r="AF58" s="756"/>
      <c r="AG58" s="756"/>
      <c r="AH58" s="675"/>
      <c r="AJ58" s="677"/>
      <c r="AK58" s="677"/>
      <c r="AL58" s="677"/>
      <c r="AM58" s="677"/>
      <c r="AN58" s="677"/>
      <c r="AO58" s="677"/>
      <c r="AP58" s="677"/>
      <c r="AQ58" s="677"/>
      <c r="AR58" s="677"/>
      <c r="AS58" s="677"/>
      <c r="AT58" s="677"/>
      <c r="AU58" s="677"/>
      <c r="AY58" s="668"/>
      <c r="AZ58" s="668"/>
      <c r="BA58" s="668"/>
      <c r="BB58" s="668"/>
      <c r="BC58" s="668"/>
      <c r="BD58" s="668"/>
      <c r="BE58" s="668"/>
    </row>
    <row r="59" spans="2:158" ht="15" customHeight="1">
      <c r="B59" s="1022"/>
      <c r="C59" s="1022"/>
      <c r="D59" s="1022"/>
      <c r="E59" s="1022"/>
      <c r="F59" s="1022"/>
      <c r="G59" s="1022"/>
      <c r="H59" s="1022"/>
      <c r="I59" s="1022"/>
      <c r="J59" s="1022"/>
      <c r="K59" s="1022"/>
      <c r="L59" s="1022"/>
      <c r="M59" s="1022"/>
      <c r="X59" s="770">
        <f>SUMIF(X61:Y139,"&gt;0")/10</f>
        <v>50</v>
      </c>
      <c r="Y59" s="770">
        <f>SUMIF(X61:Y139,"&lt;0")/10</f>
        <v>-50</v>
      </c>
      <c r="AY59" s="668" t="s">
        <v>205</v>
      </c>
      <c r="AZ59" s="668" t="s">
        <v>26</v>
      </c>
      <c r="BA59" s="668">
        <f>AH26</f>
        <v>0</v>
      </c>
      <c r="BB59" s="668" t="s">
        <v>21</v>
      </c>
      <c r="BC59" s="668">
        <f>Z26</f>
        <v>0</v>
      </c>
      <c r="BD59" s="668" t="str">
        <f t="shared" ref="BD59:BD122" si="3">IF(OR(BC59=0,BC59=""),"",BC59)</f>
        <v/>
      </c>
      <c r="BE59" s="668" t="str">
        <f t="shared" ref="BE59:BE122" si="4">IFERROR(IF(OR(BB59="Primary",BB59="Secondary",BB59="Tertiary"),AZ59&amp;" Score:  "&amp;BA59,IF(AND(BB59="Issue",BD59&lt;&gt;""),BB59&amp;":  "&amp;BD59&amp;" ("&amp;BA59&amp;IF(OR(BA59=1,BA59=-1)," point)"," points)"),"")),"")</f>
        <v/>
      </c>
    </row>
    <row r="60" spans="2:158" ht="15" customHeight="1">
      <c r="B60" s="1022"/>
      <c r="C60" s="1022"/>
      <c r="D60" s="1022"/>
      <c r="E60" s="1022"/>
      <c r="F60" s="1022"/>
      <c r="G60" s="1022"/>
      <c r="H60" s="1022"/>
      <c r="I60" s="1022"/>
      <c r="J60" s="1022"/>
      <c r="K60" s="1022"/>
      <c r="L60" s="1022"/>
      <c r="M60" s="1022"/>
      <c r="O60" s="1026" t="str">
        <f>O9</f>
        <v>PROFITABILITY PROFILE</v>
      </c>
      <c r="P60" s="1027"/>
      <c r="Q60" s="1027"/>
      <c r="R60" s="1027"/>
      <c r="S60" s="1027"/>
      <c r="T60" s="1027"/>
      <c r="U60" s="1027"/>
      <c r="V60" s="1027"/>
      <c r="W60" s="1028"/>
      <c r="X60" s="670" t="s">
        <v>206</v>
      </c>
      <c r="Y60" s="670" t="s">
        <v>207</v>
      </c>
      <c r="Z60" s="1037" t="s">
        <v>208</v>
      </c>
      <c r="AA60" s="1027"/>
      <c r="AB60" s="1027"/>
      <c r="AC60" s="1027"/>
      <c r="AD60" s="1027"/>
      <c r="AE60" s="1027"/>
      <c r="AF60" s="1027"/>
      <c r="AG60" s="1028"/>
      <c r="AH60" s="670" t="s">
        <v>209</v>
      </c>
      <c r="AI60" s="670" t="s">
        <v>210</v>
      </c>
      <c r="AY60" s="668" t="s">
        <v>211</v>
      </c>
      <c r="AZ60" s="668" t="s">
        <v>26</v>
      </c>
      <c r="BA60" s="668">
        <f>AH27</f>
        <v>0</v>
      </c>
      <c r="BB60" s="668" t="s">
        <v>21</v>
      </c>
      <c r="BC60" s="668">
        <f>Z27</f>
        <v>0</v>
      </c>
      <c r="BD60" s="668" t="str">
        <f t="shared" si="3"/>
        <v/>
      </c>
      <c r="BE60" s="668" t="str">
        <f t="shared" si="4"/>
        <v/>
      </c>
      <c r="EE60" s="1037" t="s">
        <v>212</v>
      </c>
      <c r="EF60" s="1027"/>
      <c r="EG60" s="1027"/>
      <c r="EH60" s="1027"/>
      <c r="EI60" s="1027"/>
      <c r="EJ60" s="1027"/>
      <c r="EK60" s="1027"/>
      <c r="EL60" s="1028"/>
      <c r="EM60" s="1037" t="s">
        <v>213</v>
      </c>
      <c r="EN60" s="1027"/>
      <c r="EO60" s="1027"/>
      <c r="EP60" s="1027"/>
      <c r="EQ60" s="1027"/>
      <c r="ER60" s="1027"/>
      <c r="ES60" s="1027"/>
      <c r="ET60" s="1028"/>
      <c r="EU60" s="1037" t="s">
        <v>214</v>
      </c>
      <c r="EV60" s="1027"/>
      <c r="EW60" s="1027"/>
      <c r="EX60" s="1027"/>
      <c r="EY60" s="1027"/>
      <c r="EZ60" s="1027"/>
      <c r="FA60" s="1027"/>
      <c r="FB60" s="1028"/>
    </row>
    <row r="61" spans="2:158" ht="15" customHeight="1">
      <c r="B61" s="1022"/>
      <c r="C61" s="1022"/>
      <c r="D61" s="1022"/>
      <c r="E61" s="1022"/>
      <c r="F61" s="1022"/>
      <c r="G61" s="1022"/>
      <c r="H61" s="1022"/>
      <c r="I61" s="1022"/>
      <c r="J61" s="1022"/>
      <c r="K61" s="1022"/>
      <c r="L61" s="1022"/>
      <c r="M61" s="1022"/>
      <c r="O61" s="590" t="s">
        <v>21</v>
      </c>
      <c r="P61" s="1035" t="s">
        <v>215</v>
      </c>
      <c r="Q61" s="1027"/>
      <c r="R61" s="1027"/>
      <c r="S61" s="1027"/>
      <c r="T61" s="1027"/>
      <c r="U61" s="1027"/>
      <c r="V61" s="1027"/>
      <c r="W61" s="1028"/>
      <c r="X61" s="671">
        <v>20</v>
      </c>
      <c r="Y61" s="768">
        <v>-20</v>
      </c>
      <c r="Z61" s="1031" t="s">
        <v>216</v>
      </c>
      <c r="AA61" s="1027"/>
      <c r="AB61" s="1027"/>
      <c r="AC61" s="1027"/>
      <c r="AD61" s="1027"/>
      <c r="AE61" s="1027"/>
      <c r="AF61" s="1027"/>
      <c r="AG61" s="1028"/>
      <c r="AH61" s="673" t="str">
        <f>'quantitative answers'!K2</f>
        <v>Y</v>
      </c>
      <c r="AI61" s="673">
        <f>IF(AH61="Y",X61,IF(AH61="N",Y61,0))</f>
        <v>20</v>
      </c>
      <c r="AY61" s="668" t="s">
        <v>217</v>
      </c>
      <c r="AZ61" s="668" t="s">
        <v>217</v>
      </c>
      <c r="BA61" s="668" t="e">
        <f>#REF!</f>
        <v>#REF!</v>
      </c>
      <c r="BB61" s="668" t="s">
        <v>130</v>
      </c>
      <c r="BC61" s="668"/>
      <c r="BD61" s="668" t="str">
        <f t="shared" si="3"/>
        <v/>
      </c>
      <c r="BE61" s="668" t="str">
        <f t="shared" si="4"/>
        <v/>
      </c>
      <c r="EE61" s="1031"/>
      <c r="EF61" s="1027"/>
      <c r="EG61" s="1027"/>
      <c r="EH61" s="1027"/>
      <c r="EI61" s="1027"/>
      <c r="EJ61" s="1027"/>
      <c r="EK61" s="1027"/>
      <c r="EL61" s="1028"/>
      <c r="EM61" s="1031" t="s">
        <v>218</v>
      </c>
      <c r="EN61" s="1027"/>
      <c r="EO61" s="1027"/>
      <c r="EP61" s="1027"/>
      <c r="EQ61" s="1027"/>
      <c r="ER61" s="1027"/>
      <c r="ES61" s="1027"/>
      <c r="ET61" s="1028"/>
      <c r="EU61" s="1031" t="s">
        <v>219</v>
      </c>
      <c r="EV61" s="1027"/>
      <c r="EW61" s="1027"/>
      <c r="EX61" s="1027"/>
      <c r="EY61" s="1027"/>
      <c r="EZ61" s="1027"/>
      <c r="FA61" s="1027"/>
      <c r="FB61" s="1028"/>
    </row>
    <row r="62" spans="2:158" ht="15" customHeight="1">
      <c r="O62" s="590" t="s">
        <v>21</v>
      </c>
      <c r="P62" s="1035" t="s">
        <v>220</v>
      </c>
      <c r="Q62" s="1027"/>
      <c r="R62" s="1027"/>
      <c r="S62" s="1027"/>
      <c r="T62" s="1027"/>
      <c r="U62" s="1027"/>
      <c r="V62" s="1027"/>
      <c r="W62" s="1028"/>
      <c r="X62" s="671">
        <v>20</v>
      </c>
      <c r="Y62" s="672">
        <v>-10</v>
      </c>
      <c r="Z62" s="1031" t="s">
        <v>221</v>
      </c>
      <c r="AA62" s="1027"/>
      <c r="AB62" s="1027"/>
      <c r="AC62" s="1027"/>
      <c r="AD62" s="1027"/>
      <c r="AE62" s="1027"/>
      <c r="AF62" s="1027"/>
      <c r="AG62" s="1028"/>
      <c r="AH62" s="673" t="str">
        <f>'quantitative answers'!K3</f>
        <v>Y</v>
      </c>
      <c r="AI62" s="673">
        <f>IF(AH62="Y",X62,IF(AH62="N",Y62,0))</f>
        <v>20</v>
      </c>
      <c r="AY62" s="668" t="s">
        <v>222</v>
      </c>
      <c r="AZ62" s="668" t="s">
        <v>223</v>
      </c>
      <c r="BA62" s="668">
        <f>X29</f>
        <v>0</v>
      </c>
      <c r="BB62" s="668" t="s">
        <v>138</v>
      </c>
      <c r="BC62" s="668"/>
      <c r="BD62" s="668" t="str">
        <f t="shared" si="3"/>
        <v/>
      </c>
      <c r="BE62" s="668" t="str">
        <f t="shared" si="4"/>
        <v>Recurrence Score:  0</v>
      </c>
      <c r="EE62" s="1031"/>
      <c r="EF62" s="1027"/>
      <c r="EG62" s="1027"/>
      <c r="EH62" s="1027"/>
      <c r="EI62" s="1027"/>
      <c r="EJ62" s="1027"/>
      <c r="EK62" s="1027"/>
      <c r="EL62" s="1028"/>
      <c r="EM62" s="1031" t="s">
        <v>224</v>
      </c>
      <c r="EN62" s="1027"/>
      <c r="EO62" s="1027"/>
      <c r="EP62" s="1027"/>
      <c r="EQ62" s="1027"/>
      <c r="ER62" s="1027"/>
      <c r="ES62" s="1027"/>
      <c r="ET62" s="1028"/>
      <c r="EU62" s="1031" t="s">
        <v>225</v>
      </c>
      <c r="EV62" s="1027"/>
      <c r="EW62" s="1027"/>
      <c r="EX62" s="1027"/>
      <c r="EY62" s="1027"/>
      <c r="EZ62" s="1027"/>
      <c r="FA62" s="1027"/>
      <c r="FB62" s="1028"/>
    </row>
    <row r="63" spans="2:158" ht="15" customHeight="1">
      <c r="O63" s="590" t="s">
        <v>21</v>
      </c>
      <c r="P63" s="1044" t="s">
        <v>226</v>
      </c>
      <c r="Q63" s="1027"/>
      <c r="R63" s="1027"/>
      <c r="S63" s="1027"/>
      <c r="T63" s="1027"/>
      <c r="U63" s="1027"/>
      <c r="V63" s="1027"/>
      <c r="W63" s="1028"/>
      <c r="X63" s="671">
        <v>20</v>
      </c>
      <c r="Y63" s="672">
        <v>-10</v>
      </c>
      <c r="Z63" s="1031" t="s">
        <v>227</v>
      </c>
      <c r="AA63" s="1027"/>
      <c r="AB63" s="1027"/>
      <c r="AC63" s="1027"/>
      <c r="AD63" s="1027"/>
      <c r="AE63" s="1027"/>
      <c r="AF63" s="1027"/>
      <c r="AG63" s="1028"/>
      <c r="AH63" s="673" t="str">
        <f>'quantitative answers'!K4</f>
        <v>Y</v>
      </c>
      <c r="AI63" s="673">
        <f>IF(AH63="Y",X63,IF(AH63="N",Y63,0))</f>
        <v>20</v>
      </c>
      <c r="AY63" s="668" t="s">
        <v>228</v>
      </c>
      <c r="AZ63" s="668" t="s">
        <v>223</v>
      </c>
      <c r="BA63" s="668">
        <f>X30</f>
        <v>0</v>
      </c>
      <c r="BB63" s="668" t="s">
        <v>21</v>
      </c>
      <c r="BC63" s="668">
        <f>P30</f>
        <v>0</v>
      </c>
      <c r="BD63" s="668" t="str">
        <f t="shared" si="3"/>
        <v/>
      </c>
      <c r="BE63" s="668" t="str">
        <f t="shared" si="4"/>
        <v/>
      </c>
      <c r="EE63" s="1031"/>
      <c r="EF63" s="1027"/>
      <c r="EG63" s="1027"/>
      <c r="EH63" s="1027"/>
      <c r="EI63" s="1027"/>
      <c r="EJ63" s="1027"/>
      <c r="EK63" s="1027"/>
      <c r="EL63" s="1028"/>
      <c r="EM63" s="1031" t="s">
        <v>229</v>
      </c>
      <c r="EN63" s="1027"/>
      <c r="EO63" s="1027"/>
      <c r="EP63" s="1027"/>
      <c r="EQ63" s="1027"/>
      <c r="ER63" s="1027"/>
      <c r="ES63" s="1027"/>
      <c r="ET63" s="1028"/>
      <c r="EU63" s="1031" t="s">
        <v>230</v>
      </c>
      <c r="EV63" s="1027"/>
      <c r="EW63" s="1027"/>
      <c r="EX63" s="1027"/>
      <c r="EY63" s="1027"/>
      <c r="EZ63" s="1027"/>
      <c r="FA63" s="1027"/>
      <c r="FB63" s="1028"/>
    </row>
    <row r="64" spans="2:158" ht="15" customHeight="1">
      <c r="O64" s="1026" t="str">
        <f>Y9</f>
        <v>GROWTH PROFILE</v>
      </c>
      <c r="P64" s="1027"/>
      <c r="Q64" s="1027"/>
      <c r="R64" s="1027"/>
      <c r="S64" s="1027"/>
      <c r="T64" s="1027"/>
      <c r="U64" s="1027"/>
      <c r="V64" s="1027"/>
      <c r="W64" s="1028"/>
      <c r="X64" s="670" t="s">
        <v>206</v>
      </c>
      <c r="Y64" s="670" t="s">
        <v>207</v>
      </c>
      <c r="Z64" s="1037" t="s">
        <v>208</v>
      </c>
      <c r="AA64" s="1027"/>
      <c r="AB64" s="1027"/>
      <c r="AC64" s="1027"/>
      <c r="AD64" s="1027"/>
      <c r="AE64" s="1027"/>
      <c r="AF64" s="1027"/>
      <c r="AG64" s="1028"/>
      <c r="AH64" s="670" t="s">
        <v>209</v>
      </c>
      <c r="AI64" s="670" t="s">
        <v>210</v>
      </c>
      <c r="AY64" s="668" t="s">
        <v>211</v>
      </c>
      <c r="AZ64" s="668" t="s">
        <v>26</v>
      </c>
      <c r="BA64" s="668">
        <f>AH30</f>
        <v>0</v>
      </c>
      <c r="BB64" s="668" t="s">
        <v>21</v>
      </c>
      <c r="BC64" s="668">
        <f>Z30</f>
        <v>0</v>
      </c>
      <c r="BD64" s="668" t="str">
        <f t="shared" si="3"/>
        <v/>
      </c>
      <c r="BE64" s="668" t="str">
        <f t="shared" si="4"/>
        <v/>
      </c>
      <c r="EE64" s="1037" t="s">
        <v>212</v>
      </c>
      <c r="EF64" s="1027"/>
      <c r="EG64" s="1027"/>
      <c r="EH64" s="1027"/>
      <c r="EI64" s="1027"/>
      <c r="EJ64" s="1027"/>
      <c r="EK64" s="1027"/>
      <c r="EL64" s="1028"/>
      <c r="EM64" s="1037" t="s">
        <v>213</v>
      </c>
      <c r="EN64" s="1027"/>
      <c r="EO64" s="1027"/>
      <c r="EP64" s="1027"/>
      <c r="EQ64" s="1027"/>
      <c r="ER64" s="1027"/>
      <c r="ES64" s="1027"/>
      <c r="ET64" s="1028"/>
      <c r="EU64" s="1037" t="s">
        <v>214</v>
      </c>
      <c r="EV64" s="1027"/>
      <c r="EW64" s="1027"/>
      <c r="EX64" s="1027"/>
      <c r="EY64" s="1027"/>
      <c r="EZ64" s="1027"/>
      <c r="FA64" s="1027"/>
      <c r="FB64" s="1028"/>
    </row>
    <row r="65" spans="2:158" ht="15" customHeight="1">
      <c r="B65" s="755"/>
      <c r="C65" s="1032"/>
      <c r="D65" s="1033"/>
      <c r="E65" s="1033"/>
      <c r="F65" s="1033"/>
      <c r="G65" s="1033"/>
      <c r="H65" s="1033"/>
      <c r="I65" s="1033"/>
      <c r="J65" s="1033"/>
      <c r="K65" s="1033"/>
      <c r="L65" s="1033"/>
      <c r="M65" s="1033"/>
      <c r="O65" s="591" t="s">
        <v>21</v>
      </c>
      <c r="P65" s="1035" t="s">
        <v>231</v>
      </c>
      <c r="Q65" s="1027"/>
      <c r="R65" s="1027"/>
      <c r="S65" s="1027"/>
      <c r="T65" s="1027"/>
      <c r="U65" s="1027"/>
      <c r="V65" s="1027"/>
      <c r="W65" s="1028"/>
      <c r="X65" s="671">
        <v>20</v>
      </c>
      <c r="Y65" s="672">
        <v>-10</v>
      </c>
      <c r="Z65" s="1031" t="s">
        <v>232</v>
      </c>
      <c r="AA65" s="1027"/>
      <c r="AB65" s="1027"/>
      <c r="AC65" s="1027"/>
      <c r="AD65" s="1027"/>
      <c r="AE65" s="1027"/>
      <c r="AF65" s="1027"/>
      <c r="AG65" s="1028"/>
      <c r="AH65" s="673" t="str">
        <f>'quantitative answers'!K6</f>
        <v>N</v>
      </c>
      <c r="AI65" s="673">
        <f>IF(AH65="Y",X65,IF(AH65="N",Y65,0))</f>
        <v>-10</v>
      </c>
      <c r="AY65" s="668" t="s">
        <v>217</v>
      </c>
      <c r="AZ65" s="668" t="s">
        <v>217</v>
      </c>
      <c r="BA65" s="668">
        <f>AH32</f>
        <v>0</v>
      </c>
      <c r="BB65" s="668" t="s">
        <v>130</v>
      </c>
      <c r="BC65" s="668"/>
      <c r="BD65" s="668" t="str">
        <f t="shared" si="3"/>
        <v/>
      </c>
      <c r="BE65" s="668" t="str">
        <f t="shared" si="4"/>
        <v>Consistency Score:  0</v>
      </c>
      <c r="EE65" s="1031"/>
      <c r="EF65" s="1027"/>
      <c r="EG65" s="1027"/>
      <c r="EH65" s="1027"/>
      <c r="EI65" s="1027"/>
      <c r="EJ65" s="1027"/>
      <c r="EK65" s="1027"/>
      <c r="EL65" s="1028"/>
      <c r="EM65" s="1031" t="s">
        <v>233</v>
      </c>
      <c r="EN65" s="1027"/>
      <c r="EO65" s="1027"/>
      <c r="EP65" s="1027"/>
      <c r="EQ65" s="1027"/>
      <c r="ER65" s="1027"/>
      <c r="ES65" s="1027"/>
      <c r="ET65" s="1028"/>
      <c r="EU65" s="1031" t="s">
        <v>234</v>
      </c>
      <c r="EV65" s="1027"/>
      <c r="EW65" s="1027"/>
      <c r="EX65" s="1027"/>
      <c r="EY65" s="1027"/>
      <c r="EZ65" s="1027"/>
      <c r="FA65" s="1027"/>
      <c r="FB65" s="1028"/>
    </row>
    <row r="66" spans="2:158">
      <c r="B66" s="755"/>
      <c r="C66" s="1032"/>
      <c r="D66" s="1033"/>
      <c r="E66" s="1033"/>
      <c r="F66" s="1033"/>
      <c r="G66" s="1033"/>
      <c r="H66" s="1033"/>
      <c r="I66" s="1033"/>
      <c r="J66" s="1033"/>
      <c r="K66" s="1033"/>
      <c r="L66" s="1033"/>
      <c r="M66" s="1033"/>
      <c r="O66" s="591" t="s">
        <v>21</v>
      </c>
      <c r="P66" s="1035" t="s">
        <v>235</v>
      </c>
      <c r="Q66" s="1027"/>
      <c r="R66" s="1027"/>
      <c r="S66" s="1027"/>
      <c r="T66" s="1027"/>
      <c r="U66" s="1027"/>
      <c r="V66" s="1027"/>
      <c r="W66" s="1028"/>
      <c r="X66" s="671">
        <v>20</v>
      </c>
      <c r="Y66" s="672">
        <v>-10</v>
      </c>
      <c r="Z66" s="1031" t="s">
        <v>236</v>
      </c>
      <c r="AA66" s="1027"/>
      <c r="AB66" s="1027"/>
      <c r="AC66" s="1027"/>
      <c r="AD66" s="1027"/>
      <c r="AE66" s="1027"/>
      <c r="AF66" s="1027"/>
      <c r="AG66" s="1028"/>
      <c r="AH66" s="673" t="str">
        <f>'quantitative answers'!K7</f>
        <v>N</v>
      </c>
      <c r="AI66" s="673">
        <f>IF(AH66="Y",X66,IF(AH66="N",Y66,0))</f>
        <v>-10</v>
      </c>
      <c r="AY66" s="668" t="s">
        <v>222</v>
      </c>
      <c r="AZ66" s="668" t="s">
        <v>223</v>
      </c>
      <c r="BA66" s="668">
        <f>X33</f>
        <v>0</v>
      </c>
      <c r="BB66" s="668" t="s">
        <v>138</v>
      </c>
      <c r="BC66" s="668"/>
      <c r="BD66" s="668" t="str">
        <f t="shared" si="3"/>
        <v/>
      </c>
      <c r="BE66" s="668" t="str">
        <f t="shared" si="4"/>
        <v>Recurrence Score:  0</v>
      </c>
      <c r="EE66" s="1031"/>
      <c r="EF66" s="1027"/>
      <c r="EG66" s="1027"/>
      <c r="EH66" s="1027"/>
      <c r="EI66" s="1027"/>
      <c r="EJ66" s="1027"/>
      <c r="EK66" s="1027"/>
      <c r="EL66" s="1028"/>
      <c r="EM66" s="1031" t="s">
        <v>237</v>
      </c>
      <c r="EN66" s="1027"/>
      <c r="EO66" s="1027"/>
      <c r="EP66" s="1027"/>
      <c r="EQ66" s="1027"/>
      <c r="ER66" s="1027"/>
      <c r="ES66" s="1027"/>
      <c r="ET66" s="1028"/>
      <c r="EU66" s="1031" t="s">
        <v>238</v>
      </c>
      <c r="EV66" s="1027"/>
      <c r="EW66" s="1027"/>
      <c r="EX66" s="1027"/>
      <c r="EY66" s="1027"/>
      <c r="EZ66" s="1027"/>
      <c r="FA66" s="1027"/>
      <c r="FB66" s="1028"/>
    </row>
    <row r="67" spans="2:158">
      <c r="B67" s="755"/>
      <c r="C67" s="1032"/>
      <c r="D67" s="1033"/>
      <c r="E67" s="1033"/>
      <c r="F67" s="1033"/>
      <c r="G67" s="1033"/>
      <c r="H67" s="1033"/>
      <c r="I67" s="1033"/>
      <c r="J67" s="1033"/>
      <c r="K67" s="1033"/>
      <c r="L67" s="1033"/>
      <c r="M67" s="1033"/>
      <c r="O67" s="591" t="s">
        <v>21</v>
      </c>
      <c r="P67" s="1044" t="s">
        <v>239</v>
      </c>
      <c r="Q67" s="1027"/>
      <c r="R67" s="1027"/>
      <c r="S67" s="1027"/>
      <c r="T67" s="1027"/>
      <c r="U67" s="1027"/>
      <c r="V67" s="1027"/>
      <c r="W67" s="1028"/>
      <c r="X67" s="671">
        <v>20</v>
      </c>
      <c r="Y67" s="672">
        <v>-10</v>
      </c>
      <c r="Z67" s="1031" t="s">
        <v>240</v>
      </c>
      <c r="AA67" s="1027"/>
      <c r="AB67" s="1027"/>
      <c r="AC67" s="1027"/>
      <c r="AD67" s="1027"/>
      <c r="AE67" s="1027"/>
      <c r="AF67" s="1027"/>
      <c r="AG67" s="1028"/>
      <c r="AH67" s="673" t="str">
        <f>'quantitative answers'!K8</f>
        <v>N</v>
      </c>
      <c r="AI67" s="673">
        <f>IF(AH67="Y",X67,IF(AH67="N",Y67,0))</f>
        <v>-10</v>
      </c>
      <c r="AY67" s="668" t="s">
        <v>228</v>
      </c>
      <c r="AZ67" s="668" t="s">
        <v>223</v>
      </c>
      <c r="BA67" s="668" t="e">
        <f>#REF!</f>
        <v>#REF!</v>
      </c>
      <c r="BB67" s="668" t="s">
        <v>21</v>
      </c>
      <c r="BC67" s="668" t="e">
        <f>#REF!</f>
        <v>#REF!</v>
      </c>
      <c r="BD67" s="668" t="e">
        <f t="shared" si="3"/>
        <v>#REF!</v>
      </c>
      <c r="BE67" s="668" t="str">
        <f t="shared" si="4"/>
        <v/>
      </c>
      <c r="EE67" s="1031"/>
      <c r="EF67" s="1027"/>
      <c r="EG67" s="1027"/>
      <c r="EH67" s="1027"/>
      <c r="EI67" s="1027"/>
      <c r="EJ67" s="1027"/>
      <c r="EK67" s="1027"/>
      <c r="EL67" s="1028"/>
      <c r="EM67" s="1031" t="s">
        <v>241</v>
      </c>
      <c r="EN67" s="1027"/>
      <c r="EO67" s="1027"/>
      <c r="EP67" s="1027"/>
      <c r="EQ67" s="1027"/>
      <c r="ER67" s="1027"/>
      <c r="ES67" s="1027"/>
      <c r="ET67" s="1028"/>
      <c r="EU67" s="1031" t="s">
        <v>242</v>
      </c>
      <c r="EV67" s="1027"/>
      <c r="EW67" s="1027"/>
      <c r="EX67" s="1027"/>
      <c r="EY67" s="1027"/>
      <c r="EZ67" s="1027"/>
      <c r="FA67" s="1027"/>
      <c r="FB67" s="1028"/>
    </row>
    <row r="68" spans="2:158">
      <c r="B68" s="755"/>
      <c r="C68" s="1032"/>
      <c r="D68" s="1033"/>
      <c r="E68" s="1033"/>
      <c r="F68" s="1033"/>
      <c r="G68" s="1033"/>
      <c r="H68" s="1033"/>
      <c r="I68" s="1033"/>
      <c r="J68" s="1033"/>
      <c r="K68" s="1033"/>
      <c r="L68" s="1033"/>
      <c r="M68" s="1033"/>
      <c r="O68" s="1026" t="str">
        <f>O14</f>
        <v>BALANCE SHEET</v>
      </c>
      <c r="P68" s="1027"/>
      <c r="Q68" s="1027"/>
      <c r="R68" s="1027"/>
      <c r="S68" s="1027"/>
      <c r="T68" s="1027"/>
      <c r="U68" s="1027"/>
      <c r="V68" s="1027"/>
      <c r="W68" s="1028"/>
      <c r="X68" s="670" t="s">
        <v>206</v>
      </c>
      <c r="Y68" s="670" t="s">
        <v>207</v>
      </c>
      <c r="Z68" s="1037" t="s">
        <v>208</v>
      </c>
      <c r="AA68" s="1027"/>
      <c r="AB68" s="1027"/>
      <c r="AC68" s="1027"/>
      <c r="AD68" s="1027"/>
      <c r="AE68" s="1027"/>
      <c r="AF68" s="1027"/>
      <c r="AG68" s="1028"/>
      <c r="AH68" s="670" t="s">
        <v>209</v>
      </c>
      <c r="AI68" s="670" t="s">
        <v>210</v>
      </c>
      <c r="AY68" s="668" t="s">
        <v>211</v>
      </c>
      <c r="AZ68" s="668" t="s">
        <v>26</v>
      </c>
      <c r="BA68" s="668" t="e">
        <f>#REF!</f>
        <v>#REF!</v>
      </c>
      <c r="BB68" s="668" t="s">
        <v>21</v>
      </c>
      <c r="BC68" s="668" t="e">
        <f>#REF!</f>
        <v>#REF!</v>
      </c>
      <c r="BD68" s="668" t="e">
        <f t="shared" si="3"/>
        <v>#REF!</v>
      </c>
      <c r="BE68" s="668" t="str">
        <f t="shared" si="4"/>
        <v/>
      </c>
      <c r="EE68" s="1037" t="s">
        <v>212</v>
      </c>
      <c r="EF68" s="1027"/>
      <c r="EG68" s="1027"/>
      <c r="EH68" s="1027"/>
      <c r="EI68" s="1027"/>
      <c r="EJ68" s="1027"/>
      <c r="EK68" s="1027"/>
      <c r="EL68" s="1028"/>
      <c r="EM68" s="1037" t="s">
        <v>213</v>
      </c>
      <c r="EN68" s="1027"/>
      <c r="EO68" s="1027"/>
      <c r="EP68" s="1027"/>
      <c r="EQ68" s="1027"/>
      <c r="ER68" s="1027"/>
      <c r="ES68" s="1027"/>
      <c r="ET68" s="1028"/>
      <c r="EU68" s="1037" t="s">
        <v>214</v>
      </c>
      <c r="EV68" s="1027"/>
      <c r="EW68" s="1027"/>
      <c r="EX68" s="1027"/>
      <c r="EY68" s="1027"/>
      <c r="EZ68" s="1027"/>
      <c r="FA68" s="1027"/>
      <c r="FB68" s="1028"/>
    </row>
    <row r="69" spans="2:158">
      <c r="B69" s="755"/>
      <c r="C69" s="1032"/>
      <c r="D69" s="1033"/>
      <c r="E69" s="1033"/>
      <c r="F69" s="1033"/>
      <c r="G69" s="1033"/>
      <c r="H69" s="1033"/>
      <c r="I69" s="1033"/>
      <c r="J69" s="1033"/>
      <c r="K69" s="1033"/>
      <c r="L69" s="1033"/>
      <c r="M69" s="1033"/>
      <c r="O69" s="590" t="s">
        <v>21</v>
      </c>
      <c r="P69" s="1035" t="s">
        <v>243</v>
      </c>
      <c r="Q69" s="1027"/>
      <c r="R69" s="1027"/>
      <c r="S69" s="1027"/>
      <c r="T69" s="1027"/>
      <c r="U69" s="1027"/>
      <c r="V69" s="1027"/>
      <c r="W69" s="1028"/>
      <c r="X69" s="672">
        <v>-10</v>
      </c>
      <c r="Y69" s="630"/>
      <c r="Z69" s="1023" t="s">
        <v>244</v>
      </c>
      <c r="AA69" s="1027"/>
      <c r="AB69" s="1027"/>
      <c r="AC69" s="1027"/>
      <c r="AD69" s="1027"/>
      <c r="AE69" s="1027"/>
      <c r="AF69" s="1027"/>
      <c r="AG69" s="1028"/>
      <c r="AH69" s="673" t="str">
        <f>'quantitative answers'!K10</f>
        <v>Y</v>
      </c>
      <c r="AI69" s="673">
        <f>IF(AH69="Y",X69,IF(AH69="N",Y69,0))</f>
        <v>-10</v>
      </c>
      <c r="AY69" s="668" t="s">
        <v>217</v>
      </c>
      <c r="AZ69" s="668" t="s">
        <v>217</v>
      </c>
      <c r="BA69" s="668">
        <f>AH35</f>
        <v>0</v>
      </c>
      <c r="BB69" s="668" t="s">
        <v>130</v>
      </c>
      <c r="BC69" s="668"/>
      <c r="BD69" s="668" t="str">
        <f t="shared" si="3"/>
        <v/>
      </c>
      <c r="BE69" s="668" t="str">
        <f t="shared" si="4"/>
        <v>Consistency Score:  0</v>
      </c>
      <c r="EE69" s="1031"/>
      <c r="EF69" s="1027"/>
      <c r="EG69" s="1027"/>
      <c r="EH69" s="1027"/>
      <c r="EI69" s="1027"/>
      <c r="EJ69" s="1027"/>
      <c r="EK69" s="1027"/>
      <c r="EL69" s="1028"/>
      <c r="EM69" s="1023" t="s">
        <v>245</v>
      </c>
      <c r="EN69" s="1027"/>
      <c r="EO69" s="1027"/>
      <c r="EP69" s="1027"/>
      <c r="EQ69" s="1027"/>
      <c r="ER69" s="1027"/>
      <c r="ES69" s="1027"/>
      <c r="ET69" s="1028"/>
      <c r="EU69" s="1023" t="s">
        <v>246</v>
      </c>
      <c r="EV69" s="1027"/>
      <c r="EW69" s="1027"/>
      <c r="EX69" s="1027"/>
      <c r="EY69" s="1027"/>
      <c r="EZ69" s="1027"/>
      <c r="FA69" s="1027"/>
      <c r="FB69" s="1028"/>
    </row>
    <row r="70" spans="2:158">
      <c r="B70" s="755"/>
      <c r="C70" s="1032"/>
      <c r="D70" s="1033"/>
      <c r="E70" s="1033"/>
      <c r="F70" s="1033"/>
      <c r="G70" s="1033"/>
      <c r="H70" s="1033"/>
      <c r="I70" s="1033"/>
      <c r="J70" s="1033"/>
      <c r="K70" s="1033"/>
      <c r="L70" s="1033"/>
      <c r="M70" s="1033"/>
      <c r="O70" s="590" t="s">
        <v>21</v>
      </c>
      <c r="P70" s="1038" t="s">
        <v>247</v>
      </c>
      <c r="Q70" s="1027"/>
      <c r="R70" s="1027"/>
      <c r="S70" s="1027"/>
      <c r="T70" s="1027"/>
      <c r="U70" s="1027"/>
      <c r="V70" s="1027"/>
      <c r="W70" s="1028"/>
      <c r="X70" s="672">
        <v>-20</v>
      </c>
      <c r="Y70" s="630"/>
      <c r="Z70" s="1031" t="s">
        <v>248</v>
      </c>
      <c r="AA70" s="1027"/>
      <c r="AB70" s="1027"/>
      <c r="AC70" s="1027"/>
      <c r="AD70" s="1027"/>
      <c r="AE70" s="1027"/>
      <c r="AF70" s="1027"/>
      <c r="AG70" s="1028"/>
      <c r="AH70" s="673"/>
      <c r="AI70" s="673">
        <f>IF(AH70="Y",X70,IF(AH70="N",Y70,0))</f>
        <v>0</v>
      </c>
      <c r="AY70" s="668" t="s">
        <v>222</v>
      </c>
      <c r="AZ70" s="668" t="s">
        <v>223</v>
      </c>
      <c r="BA70" s="668">
        <f>X36</f>
        <v>0</v>
      </c>
      <c r="BB70" s="668" t="s">
        <v>138</v>
      </c>
      <c r="BC70" s="668"/>
      <c r="BD70" s="668" t="str">
        <f t="shared" si="3"/>
        <v/>
      </c>
      <c r="BE70" s="668" t="str">
        <f t="shared" si="4"/>
        <v>Recurrence Score:  0</v>
      </c>
      <c r="EE70" s="1031"/>
      <c r="EF70" s="1027"/>
      <c r="EG70" s="1027"/>
      <c r="EH70" s="1027"/>
      <c r="EI70" s="1027"/>
      <c r="EJ70" s="1027"/>
      <c r="EK70" s="1027"/>
      <c r="EL70" s="1028"/>
      <c r="EM70" s="1023" t="s">
        <v>249</v>
      </c>
      <c r="EN70" s="1027"/>
      <c r="EO70" s="1027"/>
      <c r="EP70" s="1027"/>
      <c r="EQ70" s="1027"/>
      <c r="ER70" s="1027"/>
      <c r="ES70" s="1027"/>
      <c r="ET70" s="1028"/>
      <c r="EU70" s="1023" t="s">
        <v>70</v>
      </c>
      <c r="EV70" s="1027"/>
      <c r="EW70" s="1027"/>
      <c r="EX70" s="1027"/>
      <c r="EY70" s="1027"/>
      <c r="EZ70" s="1027"/>
      <c r="FA70" s="1027"/>
      <c r="FB70" s="1028"/>
    </row>
    <row r="71" spans="2:158">
      <c r="O71" s="590" t="s">
        <v>21</v>
      </c>
      <c r="P71" s="1034" t="s">
        <v>250</v>
      </c>
      <c r="Q71" s="1027"/>
      <c r="R71" s="1027"/>
      <c r="S71" s="1027"/>
      <c r="T71" s="1027"/>
      <c r="U71" s="1027"/>
      <c r="V71" s="1027"/>
      <c r="W71" s="1028"/>
      <c r="X71" s="672">
        <v>-10</v>
      </c>
      <c r="Y71" s="630"/>
      <c r="Z71" s="1031" t="s">
        <v>251</v>
      </c>
      <c r="AA71" s="1027"/>
      <c r="AB71" s="1027"/>
      <c r="AC71" s="1027"/>
      <c r="AD71" s="1027"/>
      <c r="AE71" s="1027"/>
      <c r="AF71" s="1027"/>
      <c r="AG71" s="1028"/>
      <c r="AH71" s="623"/>
      <c r="AI71" s="673">
        <f>IF(AH71="Y",X71,IF(AH71="N",Y71,0))</f>
        <v>0</v>
      </c>
      <c r="AY71" s="668" t="s">
        <v>228</v>
      </c>
      <c r="AZ71" s="668" t="s">
        <v>223</v>
      </c>
      <c r="BA71" s="668">
        <f>X37</f>
        <v>0</v>
      </c>
      <c r="BB71" s="668" t="s">
        <v>21</v>
      </c>
      <c r="BC71" s="668">
        <f>P37</f>
        <v>0</v>
      </c>
      <c r="BD71" s="668" t="str">
        <f t="shared" si="3"/>
        <v/>
      </c>
      <c r="BE71" s="668" t="str">
        <f t="shared" si="4"/>
        <v/>
      </c>
      <c r="EE71" s="1031"/>
      <c r="EF71" s="1027"/>
      <c r="EG71" s="1027"/>
      <c r="EH71" s="1027"/>
      <c r="EI71" s="1027"/>
      <c r="EJ71" s="1027"/>
      <c r="EK71" s="1027"/>
      <c r="EL71" s="1028"/>
      <c r="EM71" s="1023" t="s">
        <v>79</v>
      </c>
      <c r="EN71" s="1027"/>
      <c r="EO71" s="1027"/>
      <c r="EP71" s="1027"/>
      <c r="EQ71" s="1027"/>
      <c r="ER71" s="1027"/>
      <c r="ES71" s="1027"/>
      <c r="ET71" s="1028"/>
      <c r="EU71" s="1023" t="s">
        <v>252</v>
      </c>
      <c r="EV71" s="1027"/>
      <c r="EW71" s="1027"/>
      <c r="EX71" s="1027"/>
      <c r="EY71" s="1027"/>
      <c r="EZ71" s="1027"/>
      <c r="FA71" s="1027"/>
      <c r="FB71" s="1028"/>
    </row>
    <row r="72" spans="2:158">
      <c r="O72" s="1026" t="str">
        <f>Y14</f>
        <v>CASH FLOW</v>
      </c>
      <c r="P72" s="1027"/>
      <c r="Q72" s="1027"/>
      <c r="R72" s="1027"/>
      <c r="S72" s="1027"/>
      <c r="T72" s="1027"/>
      <c r="U72" s="1027"/>
      <c r="V72" s="1027"/>
      <c r="W72" s="1028"/>
      <c r="X72" s="670" t="s">
        <v>206</v>
      </c>
      <c r="Y72" s="670" t="s">
        <v>207</v>
      </c>
      <c r="Z72" s="1037" t="s">
        <v>208</v>
      </c>
      <c r="AA72" s="1027"/>
      <c r="AB72" s="1027"/>
      <c r="AC72" s="1027"/>
      <c r="AD72" s="1027"/>
      <c r="AE72" s="1027"/>
      <c r="AF72" s="1027"/>
      <c r="AG72" s="1028"/>
      <c r="AH72" s="670" t="s">
        <v>209</v>
      </c>
      <c r="AI72" s="670" t="s">
        <v>210</v>
      </c>
      <c r="AY72" s="668" t="s">
        <v>211</v>
      </c>
      <c r="AZ72" s="668" t="s">
        <v>26</v>
      </c>
      <c r="BA72" s="668">
        <f>AH37</f>
        <v>0</v>
      </c>
      <c r="BB72" s="668" t="s">
        <v>21</v>
      </c>
      <c r="BC72" s="668">
        <f>Z37</f>
        <v>0</v>
      </c>
      <c r="BD72" s="668" t="str">
        <f t="shared" si="3"/>
        <v/>
      </c>
      <c r="BE72" s="668" t="str">
        <f t="shared" si="4"/>
        <v/>
      </c>
      <c r="EE72" s="1037" t="s">
        <v>212</v>
      </c>
      <c r="EF72" s="1027"/>
      <c r="EG72" s="1027"/>
      <c r="EH72" s="1027"/>
      <c r="EI72" s="1027"/>
      <c r="EJ72" s="1027"/>
      <c r="EK72" s="1027"/>
      <c r="EL72" s="1028"/>
      <c r="EM72" s="1037" t="s">
        <v>213</v>
      </c>
      <c r="EN72" s="1027"/>
      <c r="EO72" s="1027"/>
      <c r="EP72" s="1027"/>
      <c r="EQ72" s="1027"/>
      <c r="ER72" s="1027"/>
      <c r="ES72" s="1027"/>
      <c r="ET72" s="1028"/>
      <c r="EU72" s="1037" t="s">
        <v>214</v>
      </c>
      <c r="EV72" s="1027"/>
      <c r="EW72" s="1027"/>
      <c r="EX72" s="1027"/>
      <c r="EY72" s="1027"/>
      <c r="EZ72" s="1027"/>
      <c r="FA72" s="1027"/>
      <c r="FB72" s="1028"/>
    </row>
    <row r="73" spans="2:158">
      <c r="O73" s="591" t="s">
        <v>21</v>
      </c>
      <c r="P73" s="1035" t="s">
        <v>253</v>
      </c>
      <c r="Q73" s="1027"/>
      <c r="R73" s="1027"/>
      <c r="S73" s="1027"/>
      <c r="T73" s="1027"/>
      <c r="U73" s="1027"/>
      <c r="V73" s="1027"/>
      <c r="W73" s="1028"/>
      <c r="X73" s="671">
        <v>20</v>
      </c>
      <c r="Y73" s="672">
        <v>-10</v>
      </c>
      <c r="Z73" s="1031" t="s">
        <v>254</v>
      </c>
      <c r="AA73" s="1027"/>
      <c r="AB73" s="1027"/>
      <c r="AC73" s="1027"/>
      <c r="AD73" s="1027"/>
      <c r="AE73" s="1027"/>
      <c r="AF73" s="1027"/>
      <c r="AG73" s="1028"/>
      <c r="AH73" s="673" t="str">
        <f>'quantitative answers'!K12</f>
        <v>Y</v>
      </c>
      <c r="AI73" s="673">
        <f>IF(AH73="Y",X73,IF(AH73="N",Y73,0))</f>
        <v>20</v>
      </c>
      <c r="AY73" s="668" t="s">
        <v>217</v>
      </c>
      <c r="AZ73" s="668" t="s">
        <v>217</v>
      </c>
      <c r="BA73" s="668" t="e">
        <f>#REF!</f>
        <v>#REF!</v>
      </c>
      <c r="BB73" s="668" t="s">
        <v>130</v>
      </c>
      <c r="BC73" s="668"/>
      <c r="BD73" s="668" t="str">
        <f t="shared" si="3"/>
        <v/>
      </c>
      <c r="BE73" s="668" t="str">
        <f t="shared" si="4"/>
        <v/>
      </c>
      <c r="EE73" s="1031"/>
      <c r="EF73" s="1027"/>
      <c r="EG73" s="1027"/>
      <c r="EH73" s="1027"/>
      <c r="EI73" s="1027"/>
      <c r="EJ73" s="1027"/>
      <c r="EK73" s="1027"/>
      <c r="EL73" s="1028"/>
      <c r="EM73" s="1031" t="s">
        <v>255</v>
      </c>
      <c r="EN73" s="1027"/>
      <c r="EO73" s="1027"/>
      <c r="EP73" s="1027"/>
      <c r="EQ73" s="1027"/>
      <c r="ER73" s="1027"/>
      <c r="ES73" s="1027"/>
      <c r="ET73" s="1028"/>
      <c r="EU73" s="1031" t="s">
        <v>256</v>
      </c>
      <c r="EV73" s="1027"/>
      <c r="EW73" s="1027"/>
      <c r="EX73" s="1027"/>
      <c r="EY73" s="1027"/>
      <c r="EZ73" s="1027"/>
      <c r="FA73" s="1027"/>
      <c r="FB73" s="1028"/>
    </row>
    <row r="74" spans="2:158">
      <c r="O74" s="591" t="s">
        <v>21</v>
      </c>
      <c r="P74" s="1035" t="s">
        <v>257</v>
      </c>
      <c r="Q74" s="1027"/>
      <c r="R74" s="1027"/>
      <c r="S74" s="1027"/>
      <c r="T74" s="1027"/>
      <c r="U74" s="1027"/>
      <c r="V74" s="1027"/>
      <c r="W74" s="1028"/>
      <c r="X74" s="671">
        <v>20</v>
      </c>
      <c r="Y74" s="672">
        <v>-10</v>
      </c>
      <c r="Z74" s="1031" t="s">
        <v>258</v>
      </c>
      <c r="AA74" s="1027"/>
      <c r="AB74" s="1027"/>
      <c r="AC74" s="1027"/>
      <c r="AD74" s="1027"/>
      <c r="AE74" s="1027"/>
      <c r="AF74" s="1027"/>
      <c r="AG74" s="1028"/>
      <c r="AH74" s="673" t="str">
        <f>'quantitative answers'!K13</f>
        <v>N</v>
      </c>
      <c r="AI74" s="673">
        <f>IF(AH74="Y",X74,IF(AH74="N",Y74,0))</f>
        <v>-10</v>
      </c>
      <c r="AY74" s="668" t="s">
        <v>222</v>
      </c>
      <c r="AZ74" s="668" t="s">
        <v>223</v>
      </c>
      <c r="BA74" s="668">
        <f>X39</f>
        <v>0</v>
      </c>
      <c r="BB74" s="668" t="s">
        <v>138</v>
      </c>
      <c r="BC74" s="668"/>
      <c r="BD74" s="668" t="str">
        <f t="shared" si="3"/>
        <v/>
      </c>
      <c r="BE74" s="668" t="str">
        <f t="shared" si="4"/>
        <v>Recurrence Score:  0</v>
      </c>
      <c r="EE74" s="1031"/>
      <c r="EF74" s="1027"/>
      <c r="EG74" s="1027"/>
      <c r="EH74" s="1027"/>
      <c r="EI74" s="1027"/>
      <c r="EJ74" s="1027"/>
      <c r="EK74" s="1027"/>
      <c r="EL74" s="1028"/>
      <c r="EM74" s="1031" t="s">
        <v>259</v>
      </c>
      <c r="EN74" s="1027"/>
      <c r="EO74" s="1027"/>
      <c r="EP74" s="1027"/>
      <c r="EQ74" s="1027"/>
      <c r="ER74" s="1027"/>
      <c r="ES74" s="1027"/>
      <c r="ET74" s="1028"/>
      <c r="EU74" s="1031" t="s">
        <v>260</v>
      </c>
      <c r="EV74" s="1027"/>
      <c r="EW74" s="1027"/>
      <c r="EX74" s="1027"/>
      <c r="EY74" s="1027"/>
      <c r="EZ74" s="1027"/>
      <c r="FA74" s="1027"/>
      <c r="FB74" s="1028"/>
    </row>
    <row r="75" spans="2:158">
      <c r="B75" s="755"/>
      <c r="C75" s="755"/>
      <c r="D75" s="1032"/>
      <c r="E75" s="1032"/>
      <c r="F75" s="1032"/>
      <c r="G75" s="1032"/>
      <c r="H75" s="1032"/>
      <c r="I75" s="1032"/>
      <c r="J75" s="1032"/>
      <c r="K75" s="1032"/>
      <c r="L75" s="1032"/>
      <c r="M75" s="1032"/>
      <c r="O75" s="591" t="s">
        <v>21</v>
      </c>
      <c r="P75" s="1044" t="s">
        <v>261</v>
      </c>
      <c r="Q75" s="1027"/>
      <c r="R75" s="1027"/>
      <c r="S75" s="1027"/>
      <c r="T75" s="1027"/>
      <c r="U75" s="1027"/>
      <c r="V75" s="1027"/>
      <c r="W75" s="1028"/>
      <c r="X75" s="672">
        <v>-10</v>
      </c>
      <c r="Y75" s="630"/>
      <c r="Z75" s="1031" t="s">
        <v>262</v>
      </c>
      <c r="AA75" s="1027"/>
      <c r="AB75" s="1027"/>
      <c r="AC75" s="1027"/>
      <c r="AD75" s="1027"/>
      <c r="AE75" s="1027"/>
      <c r="AF75" s="1027"/>
      <c r="AG75" s="1028"/>
      <c r="AH75" s="673" t="str">
        <f>'quantitative answers'!K14</f>
        <v>N</v>
      </c>
      <c r="AI75" s="673">
        <f>IF(AH75="Y",X75,IF(AH75="N",Y75,0))</f>
        <v>0</v>
      </c>
      <c r="AY75" s="668" t="s">
        <v>228</v>
      </c>
      <c r="AZ75" s="668" t="s">
        <v>223</v>
      </c>
      <c r="BA75" s="668">
        <f>X40</f>
        <v>0</v>
      </c>
      <c r="BB75" s="668" t="s">
        <v>21</v>
      </c>
      <c r="BC75" s="668">
        <f>P40</f>
        <v>0</v>
      </c>
      <c r="BD75" s="668" t="str">
        <f t="shared" si="3"/>
        <v/>
      </c>
      <c r="BE75" s="668" t="str">
        <f t="shared" si="4"/>
        <v/>
      </c>
      <c r="EE75" s="1031"/>
      <c r="EF75" s="1027"/>
      <c r="EG75" s="1027"/>
      <c r="EH75" s="1027"/>
      <c r="EI75" s="1027"/>
      <c r="EJ75" s="1027"/>
      <c r="EK75" s="1027"/>
      <c r="EL75" s="1028"/>
      <c r="EM75" s="1031" t="s">
        <v>263</v>
      </c>
      <c r="EN75" s="1027"/>
      <c r="EO75" s="1027"/>
      <c r="EP75" s="1027"/>
      <c r="EQ75" s="1027"/>
      <c r="ER75" s="1027"/>
      <c r="ES75" s="1027"/>
      <c r="ET75" s="1028"/>
      <c r="EU75" s="1031" t="s">
        <v>264</v>
      </c>
      <c r="EV75" s="1027"/>
      <c r="EW75" s="1027"/>
      <c r="EX75" s="1027"/>
      <c r="EY75" s="1027"/>
      <c r="EZ75" s="1027"/>
      <c r="FA75" s="1027"/>
      <c r="FB75" s="1028"/>
    </row>
    <row r="76" spans="2:158">
      <c r="B76" s="756"/>
      <c r="C76" s="756"/>
      <c r="D76" s="1032"/>
      <c r="E76" s="1033"/>
      <c r="F76" s="1033"/>
      <c r="G76" s="1033"/>
      <c r="H76" s="1033"/>
      <c r="I76" s="1033"/>
      <c r="J76" s="1033"/>
      <c r="K76" s="1033"/>
      <c r="L76" s="1033"/>
      <c r="M76" s="1033"/>
      <c r="O76" s="1026" t="str">
        <f>O19</f>
        <v>COMPETITIVE ADVANTAGE</v>
      </c>
      <c r="P76" s="1027"/>
      <c r="Q76" s="1027"/>
      <c r="R76" s="1027"/>
      <c r="S76" s="1027"/>
      <c r="T76" s="1027"/>
      <c r="U76" s="1027"/>
      <c r="V76" s="1027"/>
      <c r="W76" s="1028"/>
      <c r="X76" s="670" t="s">
        <v>206</v>
      </c>
      <c r="Y76" s="670" t="s">
        <v>207</v>
      </c>
      <c r="Z76" s="1037" t="s">
        <v>208</v>
      </c>
      <c r="AA76" s="1027"/>
      <c r="AB76" s="1027"/>
      <c r="AC76" s="1027"/>
      <c r="AD76" s="1027"/>
      <c r="AE76" s="1027"/>
      <c r="AF76" s="1027"/>
      <c r="AG76" s="1028"/>
      <c r="AH76" s="670" t="s">
        <v>209</v>
      </c>
      <c r="AI76" s="670" t="s">
        <v>210</v>
      </c>
      <c r="AY76" s="668" t="s">
        <v>211</v>
      </c>
      <c r="AZ76" s="668" t="s">
        <v>26</v>
      </c>
      <c r="BA76" s="668">
        <f>AH40</f>
        <v>0</v>
      </c>
      <c r="BB76" s="668" t="s">
        <v>21</v>
      </c>
      <c r="BC76" s="668">
        <f>Z40</f>
        <v>0</v>
      </c>
      <c r="BD76" s="668" t="str">
        <f t="shared" si="3"/>
        <v/>
      </c>
      <c r="BE76" s="668" t="str">
        <f t="shared" si="4"/>
        <v/>
      </c>
      <c r="EE76" s="1037" t="s">
        <v>212</v>
      </c>
      <c r="EF76" s="1027"/>
      <c r="EG76" s="1027"/>
      <c r="EH76" s="1027"/>
      <c r="EI76" s="1027"/>
      <c r="EJ76" s="1027"/>
      <c r="EK76" s="1027"/>
      <c r="EL76" s="1028"/>
      <c r="EM76" s="1037" t="s">
        <v>213</v>
      </c>
      <c r="EN76" s="1027"/>
      <c r="EO76" s="1027"/>
      <c r="EP76" s="1027"/>
      <c r="EQ76" s="1027"/>
      <c r="ER76" s="1027"/>
      <c r="ES76" s="1027"/>
      <c r="ET76" s="1028"/>
      <c r="EU76" s="1037" t="s">
        <v>214</v>
      </c>
      <c r="EV76" s="1027"/>
      <c r="EW76" s="1027"/>
      <c r="EX76" s="1027"/>
      <c r="EY76" s="1027"/>
      <c r="EZ76" s="1027"/>
      <c r="FA76" s="1027"/>
      <c r="FB76" s="1028"/>
    </row>
    <row r="77" spans="2:158">
      <c r="B77" s="756"/>
      <c r="C77" s="756"/>
      <c r="D77" s="1032"/>
      <c r="E77" s="1032"/>
      <c r="F77" s="1032"/>
      <c r="G77" s="1032"/>
      <c r="H77" s="1032"/>
      <c r="I77" s="1032"/>
      <c r="J77" s="1032"/>
      <c r="K77" s="1032"/>
      <c r="L77" s="1032"/>
      <c r="M77" s="1032"/>
      <c r="O77" s="590" t="s">
        <v>21</v>
      </c>
      <c r="P77" s="1038" t="s">
        <v>265</v>
      </c>
      <c r="Q77" s="1027"/>
      <c r="R77" s="1027"/>
      <c r="S77" s="1027"/>
      <c r="T77" s="1027"/>
      <c r="U77" s="1027"/>
      <c r="V77" s="1027"/>
      <c r="W77" s="1028"/>
      <c r="X77" s="671">
        <v>20</v>
      </c>
      <c r="Y77" s="630"/>
      <c r="Z77" s="1031" t="s">
        <v>266</v>
      </c>
      <c r="AA77" s="1027"/>
      <c r="AB77" s="1027"/>
      <c r="AC77" s="1027"/>
      <c r="AD77" s="1027"/>
      <c r="AE77" s="1027"/>
      <c r="AF77" s="1027"/>
      <c r="AG77" s="1028"/>
      <c r="AH77" s="673"/>
      <c r="AI77" s="673">
        <f>IF(AH77="Y",X77,IF(AH77="N",Y77,0))</f>
        <v>0</v>
      </c>
      <c r="AY77" s="668" t="s">
        <v>217</v>
      </c>
      <c r="AZ77" s="668" t="s">
        <v>217</v>
      </c>
      <c r="BA77" s="668">
        <f>AH42</f>
        <v>0</v>
      </c>
      <c r="BB77" s="668" t="s">
        <v>130</v>
      </c>
      <c r="BC77" s="668"/>
      <c r="BD77" s="668" t="str">
        <f t="shared" si="3"/>
        <v/>
      </c>
      <c r="BE77" s="668" t="str">
        <f t="shared" si="4"/>
        <v>Consistency Score:  0</v>
      </c>
      <c r="EE77" s="1031"/>
      <c r="EF77" s="1027"/>
      <c r="EG77" s="1027"/>
      <c r="EH77" s="1027"/>
      <c r="EI77" s="1027"/>
      <c r="EJ77" s="1027"/>
      <c r="EK77" s="1027"/>
      <c r="EL77" s="1028"/>
      <c r="EM77" s="1031" t="s">
        <v>267</v>
      </c>
      <c r="EN77" s="1027"/>
      <c r="EO77" s="1027"/>
      <c r="EP77" s="1027"/>
      <c r="EQ77" s="1027"/>
      <c r="ER77" s="1027"/>
      <c r="ES77" s="1027"/>
      <c r="ET77" s="1028"/>
      <c r="EU77" s="1031" t="s">
        <v>103</v>
      </c>
      <c r="EV77" s="1027"/>
      <c r="EW77" s="1027"/>
      <c r="EX77" s="1027"/>
      <c r="EY77" s="1027"/>
      <c r="EZ77" s="1027"/>
      <c r="FA77" s="1027"/>
      <c r="FB77" s="1028"/>
    </row>
    <row r="78" spans="2:158">
      <c r="B78" s="756"/>
      <c r="C78" s="756"/>
      <c r="D78" s="1032"/>
      <c r="E78" s="1032"/>
      <c r="F78" s="1032"/>
      <c r="G78" s="1032"/>
      <c r="H78" s="1032"/>
      <c r="I78" s="1032"/>
      <c r="J78" s="1032"/>
      <c r="K78" s="1032"/>
      <c r="L78" s="1032"/>
      <c r="M78" s="1032"/>
      <c r="O78" s="590" t="s">
        <v>21</v>
      </c>
      <c r="P78" s="1038" t="s">
        <v>268</v>
      </c>
      <c r="Q78" s="1027"/>
      <c r="R78" s="1027"/>
      <c r="S78" s="1027"/>
      <c r="T78" s="1027"/>
      <c r="U78" s="1027"/>
      <c r="V78" s="1027"/>
      <c r="W78" s="1028"/>
      <c r="X78" s="671">
        <v>20</v>
      </c>
      <c r="Y78" s="630"/>
      <c r="Z78" s="1031" t="s">
        <v>269</v>
      </c>
      <c r="AA78" s="1027"/>
      <c r="AB78" s="1027"/>
      <c r="AC78" s="1027"/>
      <c r="AD78" s="1027"/>
      <c r="AE78" s="1027"/>
      <c r="AF78" s="1027"/>
      <c r="AG78" s="1028"/>
      <c r="AH78" s="673"/>
      <c r="AI78" s="673">
        <f>IF(AH78="Y",X78,IF(AH78="N",Y78,0))</f>
        <v>0</v>
      </c>
      <c r="AY78" s="668" t="s">
        <v>222</v>
      </c>
      <c r="AZ78" s="668" t="s">
        <v>223</v>
      </c>
      <c r="BA78" s="668">
        <f>X43</f>
        <v>0</v>
      </c>
      <c r="BB78" s="668" t="s">
        <v>138</v>
      </c>
      <c r="BC78" s="668"/>
      <c r="BD78" s="668" t="str">
        <f t="shared" si="3"/>
        <v/>
      </c>
      <c r="BE78" s="668" t="str">
        <f t="shared" si="4"/>
        <v>Recurrence Score:  0</v>
      </c>
      <c r="EE78" s="1031"/>
      <c r="EF78" s="1027"/>
      <c r="EG78" s="1027"/>
      <c r="EH78" s="1027"/>
      <c r="EI78" s="1027"/>
      <c r="EJ78" s="1027"/>
      <c r="EK78" s="1027"/>
      <c r="EL78" s="1028"/>
      <c r="EM78" s="1031" t="s">
        <v>105</v>
      </c>
      <c r="EN78" s="1027"/>
      <c r="EO78" s="1027"/>
      <c r="EP78" s="1027"/>
      <c r="EQ78" s="1027"/>
      <c r="ER78" s="1027"/>
      <c r="ES78" s="1027"/>
      <c r="ET78" s="1028"/>
      <c r="EU78" s="1031" t="s">
        <v>270</v>
      </c>
      <c r="EV78" s="1027"/>
      <c r="EW78" s="1027"/>
      <c r="EX78" s="1027"/>
      <c r="EY78" s="1027"/>
      <c r="EZ78" s="1027"/>
      <c r="FA78" s="1027"/>
      <c r="FB78" s="1028"/>
    </row>
    <row r="79" spans="2:158">
      <c r="B79" s="756"/>
      <c r="C79" s="756"/>
      <c r="D79" s="1032"/>
      <c r="E79" s="1032"/>
      <c r="F79" s="1032"/>
      <c r="G79" s="1032"/>
      <c r="H79" s="1032"/>
      <c r="I79" s="1032"/>
      <c r="J79" s="1032"/>
      <c r="K79" s="1032"/>
      <c r="L79" s="1032"/>
      <c r="M79" s="1032"/>
      <c r="O79" s="590" t="s">
        <v>21</v>
      </c>
      <c r="P79" s="1034" t="s">
        <v>271</v>
      </c>
      <c r="Q79" s="1027"/>
      <c r="R79" s="1027"/>
      <c r="S79" s="1027"/>
      <c r="T79" s="1027"/>
      <c r="U79" s="1027"/>
      <c r="V79" s="1027"/>
      <c r="W79" s="1028"/>
      <c r="X79" s="671">
        <v>20</v>
      </c>
      <c r="Y79" s="630"/>
      <c r="Z79" s="1031" t="s">
        <v>272</v>
      </c>
      <c r="AA79" s="1027"/>
      <c r="AB79" s="1027"/>
      <c r="AC79" s="1027"/>
      <c r="AD79" s="1027"/>
      <c r="AE79" s="1027"/>
      <c r="AF79" s="1027"/>
      <c r="AG79" s="1028"/>
      <c r="AH79" s="673"/>
      <c r="AI79" s="673">
        <f>IF(AH79="Y",X79,IF(AH79="N",Y79,0))</f>
        <v>0</v>
      </c>
      <c r="AY79" s="668" t="s">
        <v>228</v>
      </c>
      <c r="AZ79" s="668" t="s">
        <v>223</v>
      </c>
      <c r="BA79" s="668" t="e">
        <f>#REF!</f>
        <v>#REF!</v>
      </c>
      <c r="BB79" s="668" t="s">
        <v>21</v>
      </c>
      <c r="BC79" s="668" t="e">
        <f>#REF!</f>
        <v>#REF!</v>
      </c>
      <c r="BD79" s="668" t="e">
        <f t="shared" si="3"/>
        <v>#REF!</v>
      </c>
      <c r="BE79" s="668" t="str">
        <f t="shared" si="4"/>
        <v/>
      </c>
      <c r="EE79" s="1031"/>
      <c r="EF79" s="1027"/>
      <c r="EG79" s="1027"/>
      <c r="EH79" s="1027"/>
      <c r="EI79" s="1027"/>
      <c r="EJ79" s="1027"/>
      <c r="EK79" s="1027"/>
      <c r="EL79" s="1028"/>
      <c r="EM79" s="1031" t="s">
        <v>107</v>
      </c>
      <c r="EN79" s="1027"/>
      <c r="EO79" s="1027"/>
      <c r="EP79" s="1027"/>
      <c r="EQ79" s="1027"/>
      <c r="ER79" s="1027"/>
      <c r="ES79" s="1027"/>
      <c r="ET79" s="1028"/>
      <c r="EU79" s="1031" t="s">
        <v>273</v>
      </c>
      <c r="EV79" s="1027"/>
      <c r="EW79" s="1027"/>
      <c r="EX79" s="1027"/>
      <c r="EY79" s="1027"/>
      <c r="EZ79" s="1027"/>
      <c r="FA79" s="1027"/>
      <c r="FB79" s="1028"/>
    </row>
    <row r="80" spans="2:158">
      <c r="B80" s="756"/>
      <c r="C80" s="756"/>
      <c r="D80" s="1032"/>
      <c r="E80" s="1032"/>
      <c r="F80" s="1032"/>
      <c r="G80" s="1032"/>
      <c r="H80" s="1032"/>
      <c r="I80" s="1032"/>
      <c r="J80" s="1032"/>
      <c r="K80" s="1032"/>
      <c r="L80" s="1032"/>
      <c r="M80" s="1032"/>
      <c r="O80" s="1026" t="str">
        <f>Y19</f>
        <v>ADVANTAGE EVIDENCE</v>
      </c>
      <c r="P80" s="1027"/>
      <c r="Q80" s="1027"/>
      <c r="R80" s="1027"/>
      <c r="S80" s="1027"/>
      <c r="T80" s="1027"/>
      <c r="U80" s="1027"/>
      <c r="V80" s="1027"/>
      <c r="W80" s="1028"/>
      <c r="X80" s="670" t="s">
        <v>206</v>
      </c>
      <c r="Y80" s="670" t="s">
        <v>207</v>
      </c>
      <c r="Z80" s="1037" t="s">
        <v>208</v>
      </c>
      <c r="AA80" s="1027"/>
      <c r="AB80" s="1027"/>
      <c r="AC80" s="1027"/>
      <c r="AD80" s="1027"/>
      <c r="AE80" s="1027"/>
      <c r="AF80" s="1027"/>
      <c r="AG80" s="1028"/>
      <c r="AH80" s="670" t="s">
        <v>209</v>
      </c>
      <c r="AI80" s="670" t="s">
        <v>210</v>
      </c>
      <c r="AY80" s="668" t="s">
        <v>211</v>
      </c>
      <c r="AZ80" s="668" t="s">
        <v>26</v>
      </c>
      <c r="BA80" s="668" t="e">
        <f>#REF!</f>
        <v>#REF!</v>
      </c>
      <c r="BB80" s="668" t="s">
        <v>21</v>
      </c>
      <c r="BC80" s="668" t="e">
        <f>#REF!</f>
        <v>#REF!</v>
      </c>
      <c r="BD80" s="668" t="e">
        <f t="shared" si="3"/>
        <v>#REF!</v>
      </c>
      <c r="BE80" s="668" t="str">
        <f t="shared" si="4"/>
        <v/>
      </c>
      <c r="EE80" s="1037" t="s">
        <v>212</v>
      </c>
      <c r="EF80" s="1027"/>
      <c r="EG80" s="1027"/>
      <c r="EH80" s="1027"/>
      <c r="EI80" s="1027"/>
      <c r="EJ80" s="1027"/>
      <c r="EK80" s="1027"/>
      <c r="EL80" s="1028"/>
      <c r="EM80" s="1037" t="s">
        <v>213</v>
      </c>
      <c r="EN80" s="1027"/>
      <c r="EO80" s="1027"/>
      <c r="EP80" s="1027"/>
      <c r="EQ80" s="1027"/>
      <c r="ER80" s="1027"/>
      <c r="ES80" s="1027"/>
      <c r="ET80" s="1028"/>
      <c r="EU80" s="1037" t="s">
        <v>214</v>
      </c>
      <c r="EV80" s="1027"/>
      <c r="EW80" s="1027"/>
      <c r="EX80" s="1027"/>
      <c r="EY80" s="1027"/>
      <c r="EZ80" s="1027"/>
      <c r="FA80" s="1027"/>
      <c r="FB80" s="1028"/>
    </row>
    <row r="81" spans="2:158">
      <c r="B81" s="756"/>
      <c r="C81" s="756"/>
      <c r="D81" s="1032"/>
      <c r="E81" s="1032"/>
      <c r="F81" s="1032"/>
      <c r="G81" s="1032"/>
      <c r="H81" s="1032"/>
      <c r="I81" s="1032"/>
      <c r="J81" s="1032"/>
      <c r="K81" s="1032"/>
      <c r="L81" s="1032"/>
      <c r="M81" s="1032"/>
      <c r="O81" s="591" t="s">
        <v>21</v>
      </c>
      <c r="P81" s="1035" t="s">
        <v>274</v>
      </c>
      <c r="Q81" s="1027"/>
      <c r="R81" s="1027"/>
      <c r="S81" s="1027"/>
      <c r="T81" s="1027"/>
      <c r="U81" s="1027"/>
      <c r="V81" s="1027"/>
      <c r="W81" s="1028"/>
      <c r="X81" s="671">
        <v>20</v>
      </c>
      <c r="Y81" s="672">
        <v>-10</v>
      </c>
      <c r="Z81" s="1031" t="s">
        <v>275</v>
      </c>
      <c r="AA81" s="1027"/>
      <c r="AB81" s="1027"/>
      <c r="AC81" s="1027"/>
      <c r="AD81" s="1027"/>
      <c r="AE81" s="1027"/>
      <c r="AF81" s="1027"/>
      <c r="AG81" s="1028"/>
      <c r="AH81" s="673" t="str">
        <f>'quantitative answers'!K16</f>
        <v>Y</v>
      </c>
      <c r="AI81" s="673">
        <f>IF(AH81="Y",X81,IF(AH81="N",Y81,0))</f>
        <v>20</v>
      </c>
      <c r="AY81" s="668" t="s">
        <v>217</v>
      </c>
      <c r="AZ81" s="668" t="s">
        <v>217</v>
      </c>
      <c r="BA81" s="668">
        <f>AH45</f>
        <v>0</v>
      </c>
      <c r="BB81" s="668" t="s">
        <v>130</v>
      </c>
      <c r="BC81" s="668"/>
      <c r="BD81" s="668" t="str">
        <f t="shared" si="3"/>
        <v/>
      </c>
      <c r="BE81" s="668" t="str">
        <f t="shared" si="4"/>
        <v>Consistency Score:  0</v>
      </c>
      <c r="EE81" s="1031"/>
      <c r="EF81" s="1027"/>
      <c r="EG81" s="1027"/>
      <c r="EH81" s="1027"/>
      <c r="EI81" s="1027"/>
      <c r="EJ81" s="1027"/>
      <c r="EK81" s="1027"/>
      <c r="EL81" s="1028"/>
      <c r="EM81" s="1031" t="s">
        <v>276</v>
      </c>
      <c r="EN81" s="1027"/>
      <c r="EO81" s="1027"/>
      <c r="EP81" s="1027"/>
      <c r="EQ81" s="1027"/>
      <c r="ER81" s="1027"/>
      <c r="ES81" s="1027"/>
      <c r="ET81" s="1028"/>
      <c r="EU81" s="1031" t="s">
        <v>277</v>
      </c>
      <c r="EV81" s="1027"/>
      <c r="EW81" s="1027"/>
      <c r="EX81" s="1027"/>
      <c r="EY81" s="1027"/>
      <c r="EZ81" s="1027"/>
      <c r="FA81" s="1027"/>
      <c r="FB81" s="1028"/>
    </row>
    <row r="82" spans="2:158">
      <c r="B82" s="756"/>
      <c r="C82" s="756"/>
      <c r="D82" s="1032"/>
      <c r="E82" s="1032"/>
      <c r="F82" s="1032"/>
      <c r="G82" s="1032"/>
      <c r="H82" s="1032"/>
      <c r="I82" s="1032"/>
      <c r="J82" s="1032"/>
      <c r="K82" s="1032"/>
      <c r="L82" s="1032"/>
      <c r="M82" s="1032"/>
      <c r="O82" s="591" t="s">
        <v>21</v>
      </c>
      <c r="P82" s="1038" t="s">
        <v>278</v>
      </c>
      <c r="Q82" s="1027"/>
      <c r="R82" s="1027"/>
      <c r="S82" s="1027"/>
      <c r="T82" s="1027"/>
      <c r="U82" s="1027"/>
      <c r="V82" s="1027"/>
      <c r="W82" s="1028"/>
      <c r="X82" s="671">
        <v>20</v>
      </c>
      <c r="Y82" s="672">
        <v>-10</v>
      </c>
      <c r="Z82" s="1031" t="s">
        <v>279</v>
      </c>
      <c r="AA82" s="1027"/>
      <c r="AB82" s="1027"/>
      <c r="AC82" s="1027"/>
      <c r="AD82" s="1027"/>
      <c r="AE82" s="1027"/>
      <c r="AF82" s="1027"/>
      <c r="AG82" s="1028"/>
      <c r="AH82" s="673"/>
      <c r="AI82" s="673">
        <f>IF(AH82="Y",X82,IF(AH82="N",Y82,0))</f>
        <v>0</v>
      </c>
      <c r="AY82" s="668" t="s">
        <v>222</v>
      </c>
      <c r="AZ82" s="668" t="s">
        <v>223</v>
      </c>
      <c r="BA82" s="668">
        <f>X46</f>
        <v>0</v>
      </c>
      <c r="BB82" s="668" t="s">
        <v>138</v>
      </c>
      <c r="BC82" s="668"/>
      <c r="BD82" s="668" t="str">
        <f t="shared" si="3"/>
        <v/>
      </c>
      <c r="BE82" s="668" t="str">
        <f t="shared" si="4"/>
        <v>Recurrence Score:  0</v>
      </c>
      <c r="EE82" s="1031"/>
      <c r="EF82" s="1027"/>
      <c r="EG82" s="1027"/>
      <c r="EH82" s="1027"/>
      <c r="EI82" s="1027"/>
      <c r="EJ82" s="1027"/>
      <c r="EK82" s="1027"/>
      <c r="EL82" s="1028"/>
      <c r="EM82" s="1031" t="s">
        <v>106</v>
      </c>
      <c r="EN82" s="1027"/>
      <c r="EO82" s="1027"/>
      <c r="EP82" s="1027"/>
      <c r="EQ82" s="1027"/>
      <c r="ER82" s="1027"/>
      <c r="ES82" s="1027"/>
      <c r="ET82" s="1028"/>
      <c r="EU82" s="1031" t="s">
        <v>280</v>
      </c>
      <c r="EV82" s="1027"/>
      <c r="EW82" s="1027"/>
      <c r="EX82" s="1027"/>
      <c r="EY82" s="1027"/>
      <c r="EZ82" s="1027"/>
      <c r="FA82" s="1027"/>
      <c r="FB82" s="1028"/>
    </row>
    <row r="83" spans="2:158">
      <c r="O83" s="591" t="s">
        <v>21</v>
      </c>
      <c r="P83" s="1034" t="s">
        <v>281</v>
      </c>
      <c r="Q83" s="1027"/>
      <c r="R83" s="1027"/>
      <c r="S83" s="1027"/>
      <c r="T83" s="1027"/>
      <c r="U83" s="1027"/>
      <c r="V83" s="1027"/>
      <c r="W83" s="1028"/>
      <c r="X83" s="671">
        <v>20</v>
      </c>
      <c r="Y83" s="672">
        <v>-10</v>
      </c>
      <c r="Z83" s="1031" t="s">
        <v>282</v>
      </c>
      <c r="AA83" s="1027"/>
      <c r="AB83" s="1027"/>
      <c r="AC83" s="1027"/>
      <c r="AD83" s="1027"/>
      <c r="AE83" s="1027"/>
      <c r="AF83" s="1027"/>
      <c r="AG83" s="1028"/>
      <c r="AH83" s="673"/>
      <c r="AI83" s="673">
        <f>IF(AH83="Y",X83,IF(AH83="N",Y83,0))</f>
        <v>0</v>
      </c>
      <c r="AY83" s="668" t="s">
        <v>228</v>
      </c>
      <c r="AZ83" s="668" t="s">
        <v>223</v>
      </c>
      <c r="BA83" s="668">
        <f>X47</f>
        <v>0</v>
      </c>
      <c r="BB83" s="668" t="s">
        <v>21</v>
      </c>
      <c r="BC83" s="668">
        <f>P47</f>
        <v>0</v>
      </c>
      <c r="BD83" s="668" t="str">
        <f t="shared" si="3"/>
        <v/>
      </c>
      <c r="BE83" s="668" t="str">
        <f t="shared" si="4"/>
        <v/>
      </c>
      <c r="EE83" s="1031"/>
      <c r="EF83" s="1027"/>
      <c r="EG83" s="1027"/>
      <c r="EH83" s="1027"/>
      <c r="EI83" s="1027"/>
      <c r="EJ83" s="1027"/>
      <c r="EK83" s="1027"/>
      <c r="EL83" s="1028"/>
      <c r="EM83" s="1031" t="s">
        <v>108</v>
      </c>
      <c r="EN83" s="1027"/>
      <c r="EO83" s="1027"/>
      <c r="EP83" s="1027"/>
      <c r="EQ83" s="1027"/>
      <c r="ER83" s="1027"/>
      <c r="ES83" s="1027"/>
      <c r="ET83" s="1028"/>
      <c r="EU83" s="1031" t="s">
        <v>283</v>
      </c>
      <c r="EV83" s="1027"/>
      <c r="EW83" s="1027"/>
      <c r="EX83" s="1027"/>
      <c r="EY83" s="1027"/>
      <c r="EZ83" s="1027"/>
      <c r="FA83" s="1027"/>
      <c r="FB83" s="1028"/>
    </row>
    <row r="84" spans="2:158">
      <c r="O84" s="1026" t="str">
        <f>O24</f>
        <v>GROWTH HEADROOOM</v>
      </c>
      <c r="P84" s="1027"/>
      <c r="Q84" s="1027"/>
      <c r="R84" s="1027"/>
      <c r="S84" s="1027"/>
      <c r="T84" s="1027"/>
      <c r="U84" s="1027"/>
      <c r="V84" s="1027"/>
      <c r="W84" s="1028"/>
      <c r="X84" s="670" t="s">
        <v>206</v>
      </c>
      <c r="Y84" s="670" t="s">
        <v>207</v>
      </c>
      <c r="Z84" s="1037" t="s">
        <v>208</v>
      </c>
      <c r="AA84" s="1027"/>
      <c r="AB84" s="1027"/>
      <c r="AC84" s="1027"/>
      <c r="AD84" s="1027"/>
      <c r="AE84" s="1027"/>
      <c r="AF84" s="1027"/>
      <c r="AG84" s="1028"/>
      <c r="AH84" s="670" t="s">
        <v>209</v>
      </c>
      <c r="AI84" s="670" t="s">
        <v>210</v>
      </c>
      <c r="AY84" s="668" t="s">
        <v>211</v>
      </c>
      <c r="AZ84" s="668" t="s">
        <v>26</v>
      </c>
      <c r="BA84" s="668">
        <f>AH47</f>
        <v>0</v>
      </c>
      <c r="BB84" s="668" t="s">
        <v>21</v>
      </c>
      <c r="BC84" s="668">
        <f>Z47</f>
        <v>0</v>
      </c>
      <c r="BD84" s="668" t="str">
        <f t="shared" si="3"/>
        <v/>
      </c>
      <c r="BE84" s="668" t="str">
        <f t="shared" si="4"/>
        <v/>
      </c>
      <c r="EE84" s="1037" t="s">
        <v>212</v>
      </c>
      <c r="EF84" s="1027"/>
      <c r="EG84" s="1027"/>
      <c r="EH84" s="1027"/>
      <c r="EI84" s="1027"/>
      <c r="EJ84" s="1027"/>
      <c r="EK84" s="1027"/>
      <c r="EL84" s="1028"/>
      <c r="EM84" s="1037" t="s">
        <v>213</v>
      </c>
      <c r="EN84" s="1027"/>
      <c r="EO84" s="1027"/>
      <c r="EP84" s="1027"/>
      <c r="EQ84" s="1027"/>
      <c r="ER84" s="1027"/>
      <c r="ES84" s="1027"/>
      <c r="ET84" s="1028"/>
      <c r="EU84" s="1037" t="s">
        <v>214</v>
      </c>
      <c r="EV84" s="1027"/>
      <c r="EW84" s="1027"/>
      <c r="EX84" s="1027"/>
      <c r="EY84" s="1027"/>
      <c r="EZ84" s="1027"/>
      <c r="FA84" s="1027"/>
      <c r="FB84" s="1028"/>
    </row>
    <row r="85" spans="2:158">
      <c r="O85" s="590" t="s">
        <v>21</v>
      </c>
      <c r="P85" s="1038" t="s">
        <v>284</v>
      </c>
      <c r="Q85" s="1027"/>
      <c r="R85" s="1027"/>
      <c r="S85" s="1027"/>
      <c r="T85" s="1027"/>
      <c r="U85" s="1027"/>
      <c r="V85" s="1027"/>
      <c r="W85" s="1028"/>
      <c r="X85" s="671">
        <v>20</v>
      </c>
      <c r="Y85" s="630"/>
      <c r="Z85" s="1031" t="s">
        <v>285</v>
      </c>
      <c r="AA85" s="1027"/>
      <c r="AB85" s="1027"/>
      <c r="AC85" s="1027"/>
      <c r="AD85" s="1027"/>
      <c r="AE85" s="1027"/>
      <c r="AF85" s="1027"/>
      <c r="AG85" s="1028"/>
      <c r="AH85" s="673"/>
      <c r="AI85" s="673">
        <f>IF(AH85="Y",X85,IF(AH85="N",Y85,0))</f>
        <v>0</v>
      </c>
      <c r="AY85" s="668" t="s">
        <v>217</v>
      </c>
      <c r="AZ85" s="668" t="s">
        <v>217</v>
      </c>
      <c r="BA85" s="668" t="e">
        <f>#REF!</f>
        <v>#REF!</v>
      </c>
      <c r="BB85" s="668" t="s">
        <v>130</v>
      </c>
      <c r="BC85" s="668"/>
      <c r="BD85" s="668" t="str">
        <f t="shared" si="3"/>
        <v/>
      </c>
      <c r="BE85" s="668" t="str">
        <f t="shared" si="4"/>
        <v/>
      </c>
      <c r="EE85" s="1031"/>
      <c r="EF85" s="1027"/>
      <c r="EG85" s="1027"/>
      <c r="EH85" s="1027"/>
      <c r="EI85" s="1027"/>
      <c r="EJ85" s="1027"/>
      <c r="EK85" s="1027"/>
      <c r="EL85" s="1028"/>
      <c r="EM85" s="1031" t="s">
        <v>111</v>
      </c>
      <c r="EN85" s="1027"/>
      <c r="EO85" s="1027"/>
      <c r="EP85" s="1027"/>
      <c r="EQ85" s="1027"/>
      <c r="ER85" s="1027"/>
      <c r="ES85" s="1027"/>
      <c r="ET85" s="1028"/>
      <c r="EU85" s="1031" t="s">
        <v>286</v>
      </c>
      <c r="EV85" s="1027"/>
      <c r="EW85" s="1027"/>
      <c r="EX85" s="1027"/>
      <c r="EY85" s="1027"/>
      <c r="EZ85" s="1027"/>
      <c r="FA85" s="1027"/>
      <c r="FB85" s="1028"/>
    </row>
    <row r="86" spans="2:158">
      <c r="O86" s="590" t="s">
        <v>21</v>
      </c>
      <c r="P86" s="1038" t="s">
        <v>287</v>
      </c>
      <c r="Q86" s="1027"/>
      <c r="R86" s="1027"/>
      <c r="S86" s="1027"/>
      <c r="T86" s="1027"/>
      <c r="U86" s="1027"/>
      <c r="V86" s="1027"/>
      <c r="W86" s="1028"/>
      <c r="X86" s="671">
        <v>10</v>
      </c>
      <c r="Y86" s="630"/>
      <c r="Z86" s="1031" t="s">
        <v>288</v>
      </c>
      <c r="AA86" s="1027"/>
      <c r="AB86" s="1027"/>
      <c r="AC86" s="1027"/>
      <c r="AD86" s="1027"/>
      <c r="AE86" s="1027"/>
      <c r="AF86" s="1027"/>
      <c r="AG86" s="1028"/>
      <c r="AH86" s="673"/>
      <c r="AI86" s="673">
        <f>IF(AH86="Y",X86,IF(AH86="N",Y86,0))</f>
        <v>0</v>
      </c>
      <c r="AY86" s="668" t="s">
        <v>222</v>
      </c>
      <c r="AZ86" s="668" t="s">
        <v>223</v>
      </c>
      <c r="BA86" s="668">
        <f>X49</f>
        <v>0</v>
      </c>
      <c r="BB86" s="668" t="s">
        <v>138</v>
      </c>
      <c r="BC86" s="668"/>
      <c r="BD86" s="668" t="str">
        <f t="shared" si="3"/>
        <v/>
      </c>
      <c r="BE86" s="668" t="str">
        <f t="shared" si="4"/>
        <v>Recurrence Score:  0</v>
      </c>
      <c r="EE86" s="1031"/>
      <c r="EF86" s="1027"/>
      <c r="EG86" s="1027"/>
      <c r="EH86" s="1027"/>
      <c r="EI86" s="1027"/>
      <c r="EJ86" s="1027"/>
      <c r="EK86" s="1027"/>
      <c r="EL86" s="1028"/>
      <c r="EM86" s="1031" t="s">
        <v>114</v>
      </c>
      <c r="EN86" s="1027"/>
      <c r="EO86" s="1027"/>
      <c r="EP86" s="1027"/>
      <c r="EQ86" s="1027"/>
      <c r="ER86" s="1027"/>
      <c r="ES86" s="1027"/>
      <c r="ET86" s="1028"/>
      <c r="EU86" s="1031" t="s">
        <v>289</v>
      </c>
      <c r="EV86" s="1027"/>
      <c r="EW86" s="1027"/>
      <c r="EX86" s="1027"/>
      <c r="EY86" s="1027"/>
      <c r="EZ86" s="1027"/>
      <c r="FA86" s="1027"/>
      <c r="FB86" s="1028"/>
    </row>
    <row r="87" spans="2:158">
      <c r="O87" s="590" t="s">
        <v>21</v>
      </c>
      <c r="P87" s="1034" t="s">
        <v>290</v>
      </c>
      <c r="Q87" s="1027"/>
      <c r="R87" s="1027"/>
      <c r="S87" s="1027"/>
      <c r="T87" s="1027"/>
      <c r="U87" s="1027"/>
      <c r="V87" s="1027"/>
      <c r="W87" s="1028"/>
      <c r="X87" s="671">
        <v>10</v>
      </c>
      <c r="Y87" s="630"/>
      <c r="Z87" s="1031" t="s">
        <v>291</v>
      </c>
      <c r="AA87" s="1027"/>
      <c r="AB87" s="1027"/>
      <c r="AC87" s="1027"/>
      <c r="AD87" s="1027"/>
      <c r="AE87" s="1027"/>
      <c r="AF87" s="1027"/>
      <c r="AG87" s="1028"/>
      <c r="AH87" s="673"/>
      <c r="AI87" s="673">
        <f>IF(AH87="Y",X87,IF(AH87="N",Y87,0))</f>
        <v>0</v>
      </c>
      <c r="AY87" s="668" t="s">
        <v>228</v>
      </c>
      <c r="AZ87" s="668" t="s">
        <v>223</v>
      </c>
      <c r="BA87" s="668">
        <f>X50</f>
        <v>0</v>
      </c>
      <c r="BB87" s="668" t="s">
        <v>21</v>
      </c>
      <c r="BC87" s="668">
        <f>P50</f>
        <v>0</v>
      </c>
      <c r="BD87" s="668" t="str">
        <f t="shared" si="3"/>
        <v/>
      </c>
      <c r="BE87" s="668" t="str">
        <f t="shared" si="4"/>
        <v/>
      </c>
      <c r="EE87" s="1031"/>
      <c r="EF87" s="1027"/>
      <c r="EG87" s="1027"/>
      <c r="EH87" s="1027"/>
      <c r="EI87" s="1027"/>
      <c r="EJ87" s="1027"/>
      <c r="EK87" s="1027"/>
      <c r="EL87" s="1028"/>
      <c r="EM87" s="1031" t="s">
        <v>117</v>
      </c>
      <c r="EN87" s="1027"/>
      <c r="EO87" s="1027"/>
      <c r="EP87" s="1027"/>
      <c r="EQ87" s="1027"/>
      <c r="ER87" s="1027"/>
      <c r="ES87" s="1027"/>
      <c r="ET87" s="1028"/>
      <c r="EU87" s="1031" t="s">
        <v>117</v>
      </c>
      <c r="EV87" s="1027"/>
      <c r="EW87" s="1027"/>
      <c r="EX87" s="1027"/>
      <c r="EY87" s="1027"/>
      <c r="EZ87" s="1027"/>
      <c r="FA87" s="1027"/>
      <c r="FB87" s="1028"/>
    </row>
    <row r="88" spans="2:158">
      <c r="O88" s="1026" t="str">
        <f>Y24</f>
        <v>PICKS SHOVELS</v>
      </c>
      <c r="P88" s="1027"/>
      <c r="Q88" s="1027"/>
      <c r="R88" s="1027"/>
      <c r="S88" s="1027"/>
      <c r="T88" s="1027"/>
      <c r="U88" s="1027"/>
      <c r="V88" s="1027"/>
      <c r="W88" s="1028"/>
      <c r="X88" s="670" t="s">
        <v>206</v>
      </c>
      <c r="Y88" s="670" t="s">
        <v>207</v>
      </c>
      <c r="Z88" s="1037" t="s">
        <v>208</v>
      </c>
      <c r="AA88" s="1027"/>
      <c r="AB88" s="1027"/>
      <c r="AC88" s="1027"/>
      <c r="AD88" s="1027"/>
      <c r="AE88" s="1027"/>
      <c r="AF88" s="1027"/>
      <c r="AG88" s="1028"/>
      <c r="AH88" s="670" t="s">
        <v>209</v>
      </c>
      <c r="AI88" s="670" t="s">
        <v>210</v>
      </c>
      <c r="AY88" s="668" t="s">
        <v>211</v>
      </c>
      <c r="AZ88" s="668" t="s">
        <v>26</v>
      </c>
      <c r="BA88" s="668">
        <f>AH50</f>
        <v>0</v>
      </c>
      <c r="BB88" s="668" t="s">
        <v>21</v>
      </c>
      <c r="BC88" s="668">
        <f>Z50</f>
        <v>0</v>
      </c>
      <c r="BD88" s="668" t="str">
        <f t="shared" si="3"/>
        <v/>
      </c>
      <c r="BE88" s="668" t="str">
        <f t="shared" si="4"/>
        <v/>
      </c>
      <c r="EE88" s="1037" t="s">
        <v>212</v>
      </c>
      <c r="EF88" s="1027"/>
      <c r="EG88" s="1027"/>
      <c r="EH88" s="1027"/>
      <c r="EI88" s="1027"/>
      <c r="EJ88" s="1027"/>
      <c r="EK88" s="1027"/>
      <c r="EL88" s="1028"/>
      <c r="EM88" s="1037" t="s">
        <v>213</v>
      </c>
      <c r="EN88" s="1027"/>
      <c r="EO88" s="1027"/>
      <c r="EP88" s="1027"/>
      <c r="EQ88" s="1027"/>
      <c r="ER88" s="1027"/>
      <c r="ES88" s="1027"/>
      <c r="ET88" s="1028"/>
      <c r="EU88" s="1037" t="s">
        <v>214</v>
      </c>
      <c r="EV88" s="1027"/>
      <c r="EW88" s="1027"/>
      <c r="EX88" s="1027"/>
      <c r="EY88" s="1027"/>
      <c r="EZ88" s="1027"/>
      <c r="FA88" s="1027"/>
      <c r="FB88" s="1028"/>
    </row>
    <row r="89" spans="2:158">
      <c r="O89" s="591" t="s">
        <v>21</v>
      </c>
      <c r="P89" s="1038" t="s">
        <v>292</v>
      </c>
      <c r="Q89" s="1027"/>
      <c r="R89" s="1027"/>
      <c r="S89" s="1027"/>
      <c r="T89" s="1027"/>
      <c r="U89" s="1027"/>
      <c r="V89" s="1027"/>
      <c r="W89" s="1028"/>
      <c r="X89" s="671">
        <v>10</v>
      </c>
      <c r="Y89" s="630"/>
      <c r="Z89" s="1031" t="s">
        <v>293</v>
      </c>
      <c r="AA89" s="1027"/>
      <c r="AB89" s="1027"/>
      <c r="AC89" s="1027"/>
      <c r="AD89" s="1027"/>
      <c r="AE89" s="1027"/>
      <c r="AF89" s="1027"/>
      <c r="AG89" s="1028"/>
      <c r="AH89" s="673"/>
      <c r="AI89" s="673">
        <f>IF(AH89="Y",X89,IF(AH89="N",Y89,0))</f>
        <v>0</v>
      </c>
      <c r="AY89" s="668" t="s">
        <v>217</v>
      </c>
      <c r="AZ89" s="668" t="s">
        <v>217</v>
      </c>
      <c r="BA89" s="668">
        <f>AH52</f>
        <v>0</v>
      </c>
      <c r="BB89" s="668" t="s">
        <v>130</v>
      </c>
      <c r="BC89" s="668"/>
      <c r="BD89" s="668" t="str">
        <f t="shared" si="3"/>
        <v/>
      </c>
      <c r="BE89" s="668" t="str">
        <f t="shared" si="4"/>
        <v>Consistency Score:  0</v>
      </c>
      <c r="EE89" s="1031"/>
      <c r="EF89" s="1027"/>
      <c r="EG89" s="1027"/>
      <c r="EH89" s="1027"/>
      <c r="EI89" s="1027"/>
      <c r="EJ89" s="1027"/>
      <c r="EK89" s="1027"/>
      <c r="EL89" s="1028"/>
      <c r="EM89" s="1031" t="s">
        <v>112</v>
      </c>
      <c r="EN89" s="1027"/>
      <c r="EO89" s="1027"/>
      <c r="EP89" s="1027"/>
      <c r="EQ89" s="1027"/>
      <c r="ER89" s="1027"/>
      <c r="ES89" s="1027"/>
      <c r="ET89" s="1028"/>
      <c r="EU89" s="1031" t="s">
        <v>294</v>
      </c>
      <c r="EV89" s="1027"/>
      <c r="EW89" s="1027"/>
      <c r="EX89" s="1027"/>
      <c r="EY89" s="1027"/>
      <c r="EZ89" s="1027"/>
      <c r="FA89" s="1027"/>
      <c r="FB89" s="1028"/>
    </row>
    <row r="90" spans="2:158">
      <c r="O90" s="591" t="s">
        <v>21</v>
      </c>
      <c r="P90" s="1038" t="s">
        <v>295</v>
      </c>
      <c r="Q90" s="1027"/>
      <c r="R90" s="1027"/>
      <c r="S90" s="1027"/>
      <c r="T90" s="1027"/>
      <c r="U90" s="1027"/>
      <c r="V90" s="1027"/>
      <c r="W90" s="1028"/>
      <c r="X90" s="671">
        <v>10</v>
      </c>
      <c r="Y90" s="630"/>
      <c r="Z90" s="1031" t="s">
        <v>296</v>
      </c>
      <c r="AA90" s="1027"/>
      <c r="AB90" s="1027"/>
      <c r="AC90" s="1027"/>
      <c r="AD90" s="1027"/>
      <c r="AE90" s="1027"/>
      <c r="AF90" s="1027"/>
      <c r="AG90" s="1028"/>
      <c r="AH90" s="673"/>
      <c r="AI90" s="673">
        <f>IF(AH90="Y",X90,IF(AH90="N",Y90,0))</f>
        <v>0</v>
      </c>
      <c r="AY90" s="668" t="s">
        <v>222</v>
      </c>
      <c r="AZ90" s="668" t="s">
        <v>223</v>
      </c>
      <c r="BA90" s="668">
        <f>X53</f>
        <v>0</v>
      </c>
      <c r="BB90" s="668" t="s">
        <v>138</v>
      </c>
      <c r="BC90" s="668"/>
      <c r="BD90" s="668" t="str">
        <f t="shared" si="3"/>
        <v/>
      </c>
      <c r="BE90" s="668" t="str">
        <f t="shared" si="4"/>
        <v>Recurrence Score:  0</v>
      </c>
      <c r="EE90" s="1031"/>
      <c r="EF90" s="1027"/>
      <c r="EG90" s="1027"/>
      <c r="EH90" s="1027"/>
      <c r="EI90" s="1027"/>
      <c r="EJ90" s="1027"/>
      <c r="EK90" s="1027"/>
      <c r="EL90" s="1028"/>
      <c r="EM90" s="1023" t="s">
        <v>115</v>
      </c>
      <c r="EN90" s="1027"/>
      <c r="EO90" s="1027"/>
      <c r="EP90" s="1027"/>
      <c r="EQ90" s="1027"/>
      <c r="ER90" s="1027"/>
      <c r="ES90" s="1027"/>
      <c r="ET90" s="1028"/>
      <c r="EU90" s="1031" t="s">
        <v>115</v>
      </c>
      <c r="EV90" s="1027"/>
      <c r="EW90" s="1027"/>
      <c r="EX90" s="1027"/>
      <c r="EY90" s="1027"/>
      <c r="EZ90" s="1027"/>
      <c r="FA90" s="1027"/>
      <c r="FB90" s="1028"/>
    </row>
    <row r="91" spans="2:158">
      <c r="O91" s="591" t="s">
        <v>21</v>
      </c>
      <c r="P91" s="1034" t="s">
        <v>297</v>
      </c>
      <c r="Q91" s="1027"/>
      <c r="R91" s="1027"/>
      <c r="S91" s="1027"/>
      <c r="T91" s="1027"/>
      <c r="U91" s="1027"/>
      <c r="V91" s="1027"/>
      <c r="W91" s="1028"/>
      <c r="X91" s="671">
        <v>10</v>
      </c>
      <c r="Y91" s="630"/>
      <c r="Z91" s="1031" t="s">
        <v>298</v>
      </c>
      <c r="AA91" s="1027"/>
      <c r="AB91" s="1027"/>
      <c r="AC91" s="1027"/>
      <c r="AD91" s="1027"/>
      <c r="AE91" s="1027"/>
      <c r="AF91" s="1027"/>
      <c r="AG91" s="1028"/>
      <c r="AH91" s="673"/>
      <c r="AI91" s="673">
        <f>IF(AH91="Y",X91,IF(AH91="N",Y91,0))</f>
        <v>0</v>
      </c>
      <c r="AY91" s="668" t="s">
        <v>228</v>
      </c>
      <c r="AZ91" s="668" t="s">
        <v>223</v>
      </c>
      <c r="BA91" s="668" t="e">
        <f>#REF!</f>
        <v>#REF!</v>
      </c>
      <c r="BB91" s="668" t="s">
        <v>21</v>
      </c>
      <c r="BC91" s="668" t="e">
        <f>#REF!</f>
        <v>#REF!</v>
      </c>
      <c r="BD91" s="668" t="e">
        <f t="shared" si="3"/>
        <v>#REF!</v>
      </c>
      <c r="BE91" s="668" t="str">
        <f t="shared" si="4"/>
        <v/>
      </c>
      <c r="EE91" s="1031"/>
      <c r="EF91" s="1027"/>
      <c r="EG91" s="1027"/>
      <c r="EH91" s="1027"/>
      <c r="EI91" s="1027"/>
      <c r="EJ91" s="1027"/>
      <c r="EK91" s="1027"/>
      <c r="EL91" s="1028"/>
      <c r="EM91" s="1031" t="s">
        <v>118</v>
      </c>
      <c r="EN91" s="1027"/>
      <c r="EO91" s="1027"/>
      <c r="EP91" s="1027"/>
      <c r="EQ91" s="1027"/>
      <c r="ER91" s="1027"/>
      <c r="ES91" s="1027"/>
      <c r="ET91" s="1028"/>
      <c r="EU91" s="1031" t="s">
        <v>118</v>
      </c>
      <c r="EV91" s="1027"/>
      <c r="EW91" s="1027"/>
      <c r="EX91" s="1027"/>
      <c r="EY91" s="1027"/>
      <c r="EZ91" s="1027"/>
      <c r="FA91" s="1027"/>
      <c r="FB91" s="1028"/>
    </row>
    <row r="92" spans="2:158">
      <c r="O92" s="1026" t="str">
        <f>O29</f>
        <v>REVENUE PREDICTABILITY</v>
      </c>
      <c r="P92" s="1027"/>
      <c r="Q92" s="1027"/>
      <c r="R92" s="1027"/>
      <c r="S92" s="1027"/>
      <c r="T92" s="1027"/>
      <c r="U92" s="1027"/>
      <c r="V92" s="1027"/>
      <c r="W92" s="1028"/>
      <c r="X92" s="670" t="s">
        <v>206</v>
      </c>
      <c r="Y92" s="670" t="s">
        <v>207</v>
      </c>
      <c r="Z92" s="1037" t="s">
        <v>208</v>
      </c>
      <c r="AA92" s="1027"/>
      <c r="AB92" s="1027"/>
      <c r="AC92" s="1027"/>
      <c r="AD92" s="1027"/>
      <c r="AE92" s="1027"/>
      <c r="AF92" s="1027"/>
      <c r="AG92" s="1028"/>
      <c r="AH92" s="670" t="s">
        <v>209</v>
      </c>
      <c r="AI92" s="670" t="s">
        <v>210</v>
      </c>
      <c r="AY92" s="668" t="s">
        <v>211</v>
      </c>
      <c r="AZ92" s="668" t="s">
        <v>26</v>
      </c>
      <c r="BA92" s="668" t="e">
        <f>#REF!</f>
        <v>#REF!</v>
      </c>
      <c r="BB92" s="668" t="s">
        <v>21</v>
      </c>
      <c r="BC92" s="668" t="e">
        <f>#REF!</f>
        <v>#REF!</v>
      </c>
      <c r="BD92" s="668" t="e">
        <f t="shared" si="3"/>
        <v>#REF!</v>
      </c>
      <c r="BE92" s="668" t="str">
        <f t="shared" si="4"/>
        <v/>
      </c>
      <c r="EE92" s="1037" t="s">
        <v>212</v>
      </c>
      <c r="EF92" s="1027"/>
      <c r="EG92" s="1027"/>
      <c r="EH92" s="1027"/>
      <c r="EI92" s="1027"/>
      <c r="EJ92" s="1027"/>
      <c r="EK92" s="1027"/>
      <c r="EL92" s="1028"/>
      <c r="EM92" s="1037" t="s">
        <v>213</v>
      </c>
      <c r="EN92" s="1027"/>
      <c r="EO92" s="1027"/>
      <c r="EP92" s="1027"/>
      <c r="EQ92" s="1027"/>
      <c r="ER92" s="1027"/>
      <c r="ES92" s="1027"/>
      <c r="ET92" s="1028"/>
      <c r="EU92" s="1037" t="s">
        <v>214</v>
      </c>
      <c r="EV92" s="1027"/>
      <c r="EW92" s="1027"/>
      <c r="EX92" s="1027"/>
      <c r="EY92" s="1027"/>
      <c r="EZ92" s="1027"/>
      <c r="FA92" s="1027"/>
      <c r="FB92" s="1028"/>
    </row>
    <row r="93" spans="2:158">
      <c r="B93" s="755"/>
      <c r="C93" s="755"/>
      <c r="D93" s="1032"/>
      <c r="E93" s="1032"/>
      <c r="F93" s="1032"/>
      <c r="G93" s="1032"/>
      <c r="H93" s="1032"/>
      <c r="I93" s="1032"/>
      <c r="J93" s="1032"/>
      <c r="K93" s="1032"/>
      <c r="L93" s="1032"/>
      <c r="M93" s="1032"/>
      <c r="O93" s="590" t="s">
        <v>21</v>
      </c>
      <c r="P93" s="1038" t="s">
        <v>299</v>
      </c>
      <c r="Q93" s="1027"/>
      <c r="R93" s="1027"/>
      <c r="S93" s="1027"/>
      <c r="T93" s="1027"/>
      <c r="U93" s="1027"/>
      <c r="V93" s="1027"/>
      <c r="W93" s="1028"/>
      <c r="X93" s="671">
        <v>10</v>
      </c>
      <c r="Y93" s="672">
        <v>-10</v>
      </c>
      <c r="Z93" s="1031" t="s">
        <v>300</v>
      </c>
      <c r="AA93" s="1027"/>
      <c r="AB93" s="1027"/>
      <c r="AC93" s="1027"/>
      <c r="AD93" s="1027"/>
      <c r="AE93" s="1027"/>
      <c r="AF93" s="1027"/>
      <c r="AG93" s="1028"/>
      <c r="AH93" s="673"/>
      <c r="AI93" s="673">
        <f>IF(AH93="Y",X93,IF(AH93="N",Y93,0))</f>
        <v>0</v>
      </c>
      <c r="AY93" s="668" t="s">
        <v>217</v>
      </c>
      <c r="AZ93" s="668" t="s">
        <v>217</v>
      </c>
      <c r="BA93" s="668">
        <f>AH55</f>
        <v>0</v>
      </c>
      <c r="BB93" s="668" t="s">
        <v>130</v>
      </c>
      <c r="BC93" s="668"/>
      <c r="BD93" s="668" t="str">
        <f t="shared" si="3"/>
        <v/>
      </c>
      <c r="BE93" s="668" t="str">
        <f t="shared" si="4"/>
        <v>Consistency Score:  0</v>
      </c>
      <c r="EE93" s="1031"/>
      <c r="EF93" s="1027"/>
      <c r="EG93" s="1027"/>
      <c r="EH93" s="1027"/>
      <c r="EI93" s="1027"/>
      <c r="EJ93" s="1027"/>
      <c r="EK93" s="1027"/>
      <c r="EL93" s="1028"/>
      <c r="EM93" s="1031" t="s">
        <v>134</v>
      </c>
      <c r="EN93" s="1027"/>
      <c r="EO93" s="1027"/>
      <c r="EP93" s="1027"/>
      <c r="EQ93" s="1027"/>
      <c r="ER93" s="1027"/>
      <c r="ES93" s="1027"/>
      <c r="ET93" s="1028"/>
      <c r="EU93" s="1031" t="s">
        <v>301</v>
      </c>
      <c r="EV93" s="1027"/>
      <c r="EW93" s="1027"/>
      <c r="EX93" s="1027"/>
      <c r="EY93" s="1027"/>
      <c r="EZ93" s="1027"/>
      <c r="FA93" s="1027"/>
      <c r="FB93" s="1028"/>
    </row>
    <row r="94" spans="2:158">
      <c r="B94" s="756"/>
      <c r="C94" s="756"/>
      <c r="D94" s="1032"/>
      <c r="E94" s="1032"/>
      <c r="F94" s="1032"/>
      <c r="G94" s="1032"/>
      <c r="H94" s="1032"/>
      <c r="I94" s="1032"/>
      <c r="J94" s="1032"/>
      <c r="K94" s="1032"/>
      <c r="L94" s="1032"/>
      <c r="M94" s="1032"/>
      <c r="O94" s="590" t="s">
        <v>21</v>
      </c>
      <c r="P94" s="1038" t="s">
        <v>302</v>
      </c>
      <c r="Q94" s="1027"/>
      <c r="R94" s="1027"/>
      <c r="S94" s="1027"/>
      <c r="T94" s="1027"/>
      <c r="U94" s="1027"/>
      <c r="V94" s="1027"/>
      <c r="W94" s="1028"/>
      <c r="X94" s="671">
        <v>10</v>
      </c>
      <c r="Y94" s="672">
        <v>-10</v>
      </c>
      <c r="Z94" s="1031" t="s">
        <v>303</v>
      </c>
      <c r="AA94" s="1027"/>
      <c r="AB94" s="1027"/>
      <c r="AC94" s="1027"/>
      <c r="AD94" s="1027"/>
      <c r="AE94" s="1027"/>
      <c r="AF94" s="1027"/>
      <c r="AG94" s="1028"/>
      <c r="AH94" s="673"/>
      <c r="AI94" s="673">
        <f>IF(AH94="Y",X94,IF(AH94="N",Y94,0))</f>
        <v>0</v>
      </c>
      <c r="AY94" s="668" t="s">
        <v>222</v>
      </c>
      <c r="AZ94" s="668" t="s">
        <v>223</v>
      </c>
      <c r="BA94" s="668">
        <f>X56</f>
        <v>0</v>
      </c>
      <c r="BB94" s="668" t="s">
        <v>138</v>
      </c>
      <c r="BC94" s="668"/>
      <c r="BD94" s="668" t="str">
        <f t="shared" si="3"/>
        <v/>
      </c>
      <c r="BE94" s="668" t="str">
        <f t="shared" si="4"/>
        <v>Recurrence Score:  0</v>
      </c>
      <c r="EE94" s="1031"/>
      <c r="EF94" s="1027"/>
      <c r="EG94" s="1027"/>
      <c r="EH94" s="1027"/>
      <c r="EI94" s="1027"/>
      <c r="EJ94" s="1027"/>
      <c r="EK94" s="1027"/>
      <c r="EL94" s="1028"/>
      <c r="EM94" s="1031" t="s">
        <v>139</v>
      </c>
      <c r="EN94" s="1027"/>
      <c r="EO94" s="1027"/>
      <c r="EP94" s="1027"/>
      <c r="EQ94" s="1027"/>
      <c r="ER94" s="1027"/>
      <c r="ES94" s="1027"/>
      <c r="ET94" s="1028"/>
      <c r="EU94" s="1031" t="s">
        <v>304</v>
      </c>
      <c r="EV94" s="1027"/>
      <c r="EW94" s="1027"/>
      <c r="EX94" s="1027"/>
      <c r="EY94" s="1027"/>
      <c r="EZ94" s="1027"/>
      <c r="FA94" s="1027"/>
      <c r="FB94" s="1028"/>
    </row>
    <row r="95" spans="2:158">
      <c r="B95" s="756"/>
      <c r="C95" s="756"/>
      <c r="D95" s="1032"/>
      <c r="E95" s="1032"/>
      <c r="F95" s="1032"/>
      <c r="G95" s="1032"/>
      <c r="H95" s="1032"/>
      <c r="I95" s="1032"/>
      <c r="J95" s="1032"/>
      <c r="K95" s="1032"/>
      <c r="L95" s="1032"/>
      <c r="M95" s="1032"/>
      <c r="O95" s="590" t="s">
        <v>21</v>
      </c>
      <c r="P95" s="1034" t="s">
        <v>305</v>
      </c>
      <c r="Q95" s="1027"/>
      <c r="R95" s="1027"/>
      <c r="S95" s="1027"/>
      <c r="T95" s="1027"/>
      <c r="U95" s="1027"/>
      <c r="V95" s="1027"/>
      <c r="W95" s="1028"/>
      <c r="X95" s="671">
        <v>10</v>
      </c>
      <c r="Y95" s="630"/>
      <c r="Z95" s="1031" t="s">
        <v>306</v>
      </c>
      <c r="AA95" s="1027"/>
      <c r="AB95" s="1027"/>
      <c r="AC95" s="1027"/>
      <c r="AD95" s="1027"/>
      <c r="AE95" s="1027"/>
      <c r="AF95" s="1027"/>
      <c r="AG95" s="1028"/>
      <c r="AH95" s="673"/>
      <c r="AI95" s="673">
        <f>IF(AH95="Y",X95,IF(AH95="N",Y95,0))</f>
        <v>0</v>
      </c>
      <c r="AY95" s="668" t="s">
        <v>228</v>
      </c>
      <c r="AZ95" s="668" t="s">
        <v>223</v>
      </c>
      <c r="BA95" s="668">
        <f>X57</f>
        <v>0</v>
      </c>
      <c r="BB95" s="668" t="s">
        <v>21</v>
      </c>
      <c r="BC95" s="668">
        <f>P57</f>
        <v>0</v>
      </c>
      <c r="BD95" s="668" t="str">
        <f t="shared" si="3"/>
        <v/>
      </c>
      <c r="BE95" s="668" t="str">
        <f t="shared" si="4"/>
        <v/>
      </c>
      <c r="EE95" s="1031"/>
      <c r="EF95" s="1027"/>
      <c r="EG95" s="1027"/>
      <c r="EH95" s="1027"/>
      <c r="EI95" s="1027"/>
      <c r="EJ95" s="1027"/>
      <c r="EK95" s="1027"/>
      <c r="EL95" s="1028"/>
      <c r="EM95" s="1031" t="s">
        <v>307</v>
      </c>
      <c r="EN95" s="1027"/>
      <c r="EO95" s="1027"/>
      <c r="EP95" s="1027"/>
      <c r="EQ95" s="1027"/>
      <c r="ER95" s="1027"/>
      <c r="ES95" s="1027"/>
      <c r="ET95" s="1028"/>
      <c r="EU95" s="1031" t="s">
        <v>142</v>
      </c>
      <c r="EV95" s="1027"/>
      <c r="EW95" s="1027"/>
      <c r="EX95" s="1027"/>
      <c r="EY95" s="1027"/>
      <c r="EZ95" s="1027"/>
      <c r="FA95" s="1027"/>
      <c r="FB95" s="1028"/>
    </row>
    <row r="96" spans="2:158">
      <c r="O96" s="1026" t="str">
        <f>Y29</f>
        <v>CYCLE SENSITIVITY</v>
      </c>
      <c r="P96" s="1027"/>
      <c r="Q96" s="1027"/>
      <c r="R96" s="1027"/>
      <c r="S96" s="1027"/>
      <c r="T96" s="1027"/>
      <c r="U96" s="1027"/>
      <c r="V96" s="1027"/>
      <c r="W96" s="1028"/>
      <c r="X96" s="670" t="s">
        <v>206</v>
      </c>
      <c r="Y96" s="670" t="s">
        <v>207</v>
      </c>
      <c r="Z96" s="1037" t="s">
        <v>208</v>
      </c>
      <c r="AA96" s="1027"/>
      <c r="AB96" s="1027"/>
      <c r="AC96" s="1027"/>
      <c r="AD96" s="1027"/>
      <c r="AE96" s="1027"/>
      <c r="AF96" s="1027"/>
      <c r="AG96" s="1028"/>
      <c r="AH96" s="670" t="s">
        <v>209</v>
      </c>
      <c r="AI96" s="670" t="s">
        <v>210</v>
      </c>
      <c r="AY96" s="668" t="s">
        <v>211</v>
      </c>
      <c r="AZ96" s="668" t="s">
        <v>26</v>
      </c>
      <c r="BA96" s="668">
        <f>AH57</f>
        <v>0</v>
      </c>
      <c r="BB96" s="668" t="s">
        <v>21</v>
      </c>
      <c r="BC96" s="668">
        <f>Z57</f>
        <v>0</v>
      </c>
      <c r="BD96" s="668" t="str">
        <f t="shared" si="3"/>
        <v/>
      </c>
      <c r="BE96" s="668" t="str">
        <f t="shared" si="4"/>
        <v/>
      </c>
      <c r="EE96" s="1037" t="s">
        <v>212</v>
      </c>
      <c r="EF96" s="1027"/>
      <c r="EG96" s="1027"/>
      <c r="EH96" s="1027"/>
      <c r="EI96" s="1027"/>
      <c r="EJ96" s="1027"/>
      <c r="EK96" s="1027"/>
      <c r="EL96" s="1028"/>
      <c r="EM96" s="1037" t="s">
        <v>213</v>
      </c>
      <c r="EN96" s="1027"/>
      <c r="EO96" s="1027"/>
      <c r="EP96" s="1027"/>
      <c r="EQ96" s="1027"/>
      <c r="ER96" s="1027"/>
      <c r="ES96" s="1027"/>
      <c r="ET96" s="1028"/>
      <c r="EU96" s="1037" t="s">
        <v>214</v>
      </c>
      <c r="EV96" s="1027"/>
      <c r="EW96" s="1027"/>
      <c r="EX96" s="1027"/>
      <c r="EY96" s="1027"/>
      <c r="EZ96" s="1027"/>
      <c r="FA96" s="1027"/>
      <c r="FB96" s="1028"/>
    </row>
    <row r="97" spans="2:158">
      <c r="O97" s="591" t="s">
        <v>21</v>
      </c>
      <c r="P97" s="1038" t="s">
        <v>308</v>
      </c>
      <c r="Q97" s="1027"/>
      <c r="R97" s="1027"/>
      <c r="S97" s="1027"/>
      <c r="T97" s="1027"/>
      <c r="U97" s="1027"/>
      <c r="V97" s="1027"/>
      <c r="W97" s="1028"/>
      <c r="X97" s="671">
        <v>10</v>
      </c>
      <c r="Y97" s="672">
        <v>-10</v>
      </c>
      <c r="Z97" s="1031" t="s">
        <v>309</v>
      </c>
      <c r="AA97" s="1027"/>
      <c r="AB97" s="1027"/>
      <c r="AC97" s="1027"/>
      <c r="AD97" s="1027"/>
      <c r="AE97" s="1027"/>
      <c r="AF97" s="1027"/>
      <c r="AG97" s="1028"/>
      <c r="AH97" s="673"/>
      <c r="AI97" s="673">
        <f>IF(AH97="Y",X97,IF(AH97="N",Y97,0))</f>
        <v>0</v>
      </c>
      <c r="AY97" s="668" t="s">
        <v>217</v>
      </c>
      <c r="AZ97" s="668" t="s">
        <v>217</v>
      </c>
      <c r="BA97" s="668" t="str">
        <f>AH60</f>
        <v>Y/N</v>
      </c>
      <c r="BB97" s="668" t="s">
        <v>130</v>
      </c>
      <c r="BC97" s="668"/>
      <c r="BD97" s="668" t="str">
        <f t="shared" si="3"/>
        <v/>
      </c>
      <c r="BE97" s="668" t="str">
        <f t="shared" si="4"/>
        <v>Consistency Score:  Y/N</v>
      </c>
      <c r="EE97" s="1031"/>
      <c r="EF97" s="1027"/>
      <c r="EG97" s="1027"/>
      <c r="EH97" s="1027"/>
      <c r="EI97" s="1027"/>
      <c r="EJ97" s="1027"/>
      <c r="EK97" s="1027"/>
      <c r="EL97" s="1028"/>
      <c r="EM97" s="1031" t="s">
        <v>135</v>
      </c>
      <c r="EN97" s="1027"/>
      <c r="EO97" s="1027"/>
      <c r="EP97" s="1027"/>
      <c r="EQ97" s="1027"/>
      <c r="ER97" s="1027"/>
      <c r="ES97" s="1027"/>
      <c r="ET97" s="1028"/>
      <c r="EU97" s="1031" t="s">
        <v>310</v>
      </c>
      <c r="EV97" s="1027"/>
      <c r="EW97" s="1027"/>
      <c r="EX97" s="1027"/>
      <c r="EY97" s="1027"/>
      <c r="EZ97" s="1027"/>
      <c r="FA97" s="1027"/>
      <c r="FB97" s="1028"/>
    </row>
    <row r="98" spans="2:158">
      <c r="O98" s="591" t="s">
        <v>21</v>
      </c>
      <c r="P98" s="1038" t="s">
        <v>311</v>
      </c>
      <c r="Q98" s="1027"/>
      <c r="R98" s="1027"/>
      <c r="S98" s="1027"/>
      <c r="T98" s="1027"/>
      <c r="U98" s="1027"/>
      <c r="V98" s="1027"/>
      <c r="W98" s="1028"/>
      <c r="X98" s="671">
        <v>10</v>
      </c>
      <c r="Y98" s="672">
        <v>-10</v>
      </c>
      <c r="Z98" s="1031" t="s">
        <v>312</v>
      </c>
      <c r="AA98" s="1027"/>
      <c r="AB98" s="1027"/>
      <c r="AC98" s="1027"/>
      <c r="AD98" s="1027"/>
      <c r="AE98" s="1027"/>
      <c r="AF98" s="1027"/>
      <c r="AG98" s="1028"/>
      <c r="AH98" s="673"/>
      <c r="AI98" s="673">
        <f>IF(AH98="Y",X98,IF(AH98="N",Y98,0))</f>
        <v>0</v>
      </c>
      <c r="AY98" s="668" t="s">
        <v>222</v>
      </c>
      <c r="AZ98" s="668" t="s">
        <v>223</v>
      </c>
      <c r="BA98" s="668">
        <f>X61</f>
        <v>20</v>
      </c>
      <c r="BB98" s="668" t="s">
        <v>138</v>
      </c>
      <c r="BC98" s="668"/>
      <c r="BD98" s="668" t="str">
        <f t="shared" si="3"/>
        <v/>
      </c>
      <c r="BE98" s="668" t="str">
        <f t="shared" si="4"/>
        <v>Recurrence Score:  20</v>
      </c>
      <c r="EE98" s="1031"/>
      <c r="EF98" s="1027"/>
      <c r="EG98" s="1027"/>
      <c r="EH98" s="1027"/>
      <c r="EI98" s="1027"/>
      <c r="EJ98" s="1027"/>
      <c r="EK98" s="1027"/>
      <c r="EL98" s="1028"/>
      <c r="EM98" s="1031" t="s">
        <v>140</v>
      </c>
      <c r="EN98" s="1027"/>
      <c r="EO98" s="1027"/>
      <c r="EP98" s="1027"/>
      <c r="EQ98" s="1027"/>
      <c r="ER98" s="1027"/>
      <c r="ES98" s="1027"/>
      <c r="ET98" s="1028"/>
      <c r="EU98" s="1031" t="s">
        <v>313</v>
      </c>
      <c r="EV98" s="1027"/>
      <c r="EW98" s="1027"/>
      <c r="EX98" s="1027"/>
      <c r="EY98" s="1027"/>
      <c r="EZ98" s="1027"/>
      <c r="FA98" s="1027"/>
      <c r="FB98" s="1028"/>
    </row>
    <row r="99" spans="2:158">
      <c r="O99" s="591" t="s">
        <v>21</v>
      </c>
      <c r="P99" s="1034" t="s">
        <v>314</v>
      </c>
      <c r="Q99" s="1027"/>
      <c r="R99" s="1027"/>
      <c r="S99" s="1027"/>
      <c r="T99" s="1027"/>
      <c r="U99" s="1027"/>
      <c r="V99" s="1027"/>
      <c r="W99" s="1028"/>
      <c r="X99" s="630"/>
      <c r="Y99" s="672">
        <v>-10</v>
      </c>
      <c r="Z99" s="1031" t="s">
        <v>315</v>
      </c>
      <c r="AA99" s="1027"/>
      <c r="AB99" s="1027"/>
      <c r="AC99" s="1027"/>
      <c r="AD99" s="1027"/>
      <c r="AE99" s="1027"/>
      <c r="AF99" s="1027"/>
      <c r="AG99" s="1028"/>
      <c r="AH99" s="673"/>
      <c r="AI99" s="673">
        <f>IF(AH99="Y",X99,IF(AH99="N",Y99,0))</f>
        <v>0</v>
      </c>
      <c r="AY99" s="668" t="s">
        <v>228</v>
      </c>
      <c r="AZ99" s="668" t="s">
        <v>223</v>
      </c>
      <c r="BA99" s="668">
        <f>X62</f>
        <v>20</v>
      </c>
      <c r="BB99" s="668" t="s">
        <v>21</v>
      </c>
      <c r="BC99" s="668" t="str">
        <f>P62</f>
        <v>gpm</v>
      </c>
      <c r="BD99" s="668" t="str">
        <f t="shared" si="3"/>
        <v>gpm</v>
      </c>
      <c r="BE99" s="668" t="str">
        <f t="shared" si="4"/>
        <v>Issue:  gpm (20 points)</v>
      </c>
      <c r="EE99" s="1031"/>
      <c r="EF99" s="1027"/>
      <c r="EG99" s="1027"/>
      <c r="EH99" s="1027"/>
      <c r="EI99" s="1027"/>
      <c r="EJ99" s="1027"/>
      <c r="EK99" s="1027"/>
      <c r="EL99" s="1028"/>
      <c r="EM99" s="1023" t="s">
        <v>316</v>
      </c>
      <c r="EN99" s="1027"/>
      <c r="EO99" s="1027"/>
      <c r="EP99" s="1027"/>
      <c r="EQ99" s="1027"/>
      <c r="ER99" s="1027"/>
      <c r="ES99" s="1027"/>
      <c r="ET99" s="1028"/>
      <c r="EU99" s="1023" t="s">
        <v>143</v>
      </c>
      <c r="EV99" s="1027"/>
      <c r="EW99" s="1027"/>
      <c r="EX99" s="1027"/>
      <c r="EY99" s="1027"/>
      <c r="EZ99" s="1027"/>
      <c r="FA99" s="1027"/>
      <c r="FB99" s="1028"/>
    </row>
    <row r="100" spans="2:158">
      <c r="O100" s="1026" t="str">
        <f>O34</f>
        <v>CYCLE EXPOSURE</v>
      </c>
      <c r="P100" s="1027"/>
      <c r="Q100" s="1027"/>
      <c r="R100" s="1027"/>
      <c r="S100" s="1027"/>
      <c r="T100" s="1027"/>
      <c r="U100" s="1027"/>
      <c r="V100" s="1027"/>
      <c r="W100" s="1028"/>
      <c r="X100" s="670" t="s">
        <v>206</v>
      </c>
      <c r="Y100" s="670" t="s">
        <v>207</v>
      </c>
      <c r="Z100" s="1037" t="s">
        <v>208</v>
      </c>
      <c r="AA100" s="1027"/>
      <c r="AB100" s="1027"/>
      <c r="AC100" s="1027"/>
      <c r="AD100" s="1027"/>
      <c r="AE100" s="1027"/>
      <c r="AF100" s="1027"/>
      <c r="AG100" s="1028"/>
      <c r="AH100" s="670" t="s">
        <v>209</v>
      </c>
      <c r="AI100" s="670" t="s">
        <v>210</v>
      </c>
      <c r="AY100" s="668" t="s">
        <v>211</v>
      </c>
      <c r="AZ100" s="668" t="s">
        <v>26</v>
      </c>
      <c r="BA100" s="668" t="str">
        <f>AH62</f>
        <v>Y</v>
      </c>
      <c r="BB100" s="668" t="s">
        <v>21</v>
      </c>
      <c r="BC100" s="668" t="str">
        <f>Z62</f>
        <v>Is the company's gross margin profile strong?</v>
      </c>
      <c r="BD100" s="668" t="str">
        <f t="shared" si="3"/>
        <v>Is the company's gross margin profile strong?</v>
      </c>
      <c r="BE100" s="668" t="str">
        <f t="shared" si="4"/>
        <v>Issue:  Is the company's gross margin profile strong? (Y points)</v>
      </c>
      <c r="EE100" s="1037" t="s">
        <v>212</v>
      </c>
      <c r="EF100" s="1027"/>
      <c r="EG100" s="1027"/>
      <c r="EH100" s="1027"/>
      <c r="EI100" s="1027"/>
      <c r="EJ100" s="1027"/>
      <c r="EK100" s="1027"/>
      <c r="EL100" s="1028"/>
      <c r="EM100" s="1037" t="s">
        <v>213</v>
      </c>
      <c r="EN100" s="1027"/>
      <c r="EO100" s="1027"/>
      <c r="EP100" s="1027"/>
      <c r="EQ100" s="1027"/>
      <c r="ER100" s="1027"/>
      <c r="ES100" s="1027"/>
      <c r="ET100" s="1028"/>
      <c r="EU100" s="1037" t="s">
        <v>214</v>
      </c>
      <c r="EV100" s="1027"/>
      <c r="EW100" s="1027"/>
      <c r="EX100" s="1027"/>
      <c r="EY100" s="1027"/>
      <c r="EZ100" s="1027"/>
      <c r="FA100" s="1027"/>
      <c r="FB100" s="1028"/>
    </row>
    <row r="101" spans="2:158">
      <c r="B101" s="755"/>
      <c r="C101" s="1032"/>
      <c r="D101" s="1033"/>
      <c r="E101" s="1033"/>
      <c r="F101" s="1033"/>
      <c r="G101" s="1033"/>
      <c r="H101" s="1033"/>
      <c r="I101" s="1033"/>
      <c r="J101" s="1033"/>
      <c r="K101" s="1033"/>
      <c r="L101" s="1033"/>
      <c r="M101" s="1033"/>
      <c r="O101" s="590" t="s">
        <v>21</v>
      </c>
      <c r="P101" s="1038" t="s">
        <v>317</v>
      </c>
      <c r="Q101" s="1027"/>
      <c r="R101" s="1027"/>
      <c r="S101" s="1027"/>
      <c r="T101" s="1027"/>
      <c r="U101" s="1027"/>
      <c r="V101" s="1027"/>
      <c r="W101" s="1028"/>
      <c r="X101" s="672">
        <v>-10</v>
      </c>
      <c r="Y101" s="630"/>
      <c r="Z101" s="1031" t="s">
        <v>318</v>
      </c>
      <c r="AA101" s="1027"/>
      <c r="AB101" s="1027"/>
      <c r="AC101" s="1027"/>
      <c r="AD101" s="1027"/>
      <c r="AE101" s="1027"/>
      <c r="AF101" s="1027"/>
      <c r="AG101" s="1028"/>
      <c r="AH101" s="673"/>
      <c r="AI101" s="673">
        <f>IF(AH101="Y",X101,IF(AH101="N",Y101,0))</f>
        <v>0</v>
      </c>
      <c r="AY101" s="668" t="s">
        <v>217</v>
      </c>
      <c r="AZ101" s="668" t="s">
        <v>217</v>
      </c>
      <c r="BA101" s="668" t="str">
        <f>AH64</f>
        <v>Y/N</v>
      </c>
      <c r="BB101" s="668" t="s">
        <v>130</v>
      </c>
      <c r="BC101" s="668"/>
      <c r="BD101" s="668" t="str">
        <f t="shared" si="3"/>
        <v/>
      </c>
      <c r="BE101" s="668" t="str">
        <f t="shared" si="4"/>
        <v>Consistency Score:  Y/N</v>
      </c>
      <c r="EE101" s="1031"/>
      <c r="EF101" s="1027"/>
      <c r="EG101" s="1027"/>
      <c r="EH101" s="1027"/>
      <c r="EI101" s="1027"/>
      <c r="EJ101" s="1027"/>
      <c r="EK101" s="1027"/>
      <c r="EL101" s="1028"/>
      <c r="EM101" s="1023" t="s">
        <v>149</v>
      </c>
      <c r="EN101" s="1027"/>
      <c r="EO101" s="1027"/>
      <c r="EP101" s="1027"/>
      <c r="EQ101" s="1027"/>
      <c r="ER101" s="1027"/>
      <c r="ES101" s="1027"/>
      <c r="ET101" s="1028"/>
      <c r="EU101" s="1023" t="s">
        <v>319</v>
      </c>
      <c r="EV101" s="1027"/>
      <c r="EW101" s="1027"/>
      <c r="EX101" s="1027"/>
      <c r="EY101" s="1027"/>
      <c r="EZ101" s="1027"/>
      <c r="FA101" s="1027"/>
      <c r="FB101" s="1028"/>
    </row>
    <row r="102" spans="2:158">
      <c r="B102" s="755"/>
      <c r="C102" s="1032"/>
      <c r="D102" s="1033"/>
      <c r="E102" s="1033"/>
      <c r="F102" s="1033"/>
      <c r="G102" s="1033"/>
      <c r="H102" s="1033"/>
      <c r="I102" s="1033"/>
      <c r="J102" s="1033"/>
      <c r="K102" s="1033"/>
      <c r="L102" s="1033"/>
      <c r="M102" s="1033"/>
      <c r="O102" s="590" t="s">
        <v>21</v>
      </c>
      <c r="P102" s="1038" t="s">
        <v>320</v>
      </c>
      <c r="Q102" s="1027"/>
      <c r="R102" s="1027"/>
      <c r="S102" s="1027"/>
      <c r="T102" s="1027"/>
      <c r="U102" s="1027"/>
      <c r="V102" s="1027"/>
      <c r="W102" s="1028"/>
      <c r="X102" s="672">
        <v>-10</v>
      </c>
      <c r="Y102" s="630"/>
      <c r="Z102" s="1031" t="s">
        <v>321</v>
      </c>
      <c r="AA102" s="1027"/>
      <c r="AB102" s="1027"/>
      <c r="AC102" s="1027"/>
      <c r="AD102" s="1027"/>
      <c r="AE102" s="1027"/>
      <c r="AF102" s="1027"/>
      <c r="AG102" s="1028"/>
      <c r="AH102" s="673"/>
      <c r="AI102" s="673">
        <f>IF(AH102="Y",X102,IF(AH102="N",Y102,0))</f>
        <v>0</v>
      </c>
      <c r="AY102" s="668" t="s">
        <v>222</v>
      </c>
      <c r="AZ102" s="668" t="s">
        <v>223</v>
      </c>
      <c r="BA102" s="668">
        <f>X65</f>
        <v>20</v>
      </c>
      <c r="BB102" s="668" t="s">
        <v>138</v>
      </c>
      <c r="BC102" s="668"/>
      <c r="BD102" s="668" t="str">
        <f t="shared" si="3"/>
        <v/>
      </c>
      <c r="BE102" s="668" t="str">
        <f t="shared" si="4"/>
        <v>Recurrence Score:  20</v>
      </c>
      <c r="EE102" s="1031"/>
      <c r="EF102" s="1027"/>
      <c r="EG102" s="1027"/>
      <c r="EH102" s="1027"/>
      <c r="EI102" s="1027"/>
      <c r="EJ102" s="1027"/>
      <c r="EK102" s="1027"/>
      <c r="EL102" s="1028"/>
      <c r="EM102" s="1023" t="s">
        <v>152</v>
      </c>
      <c r="EN102" s="1027"/>
      <c r="EO102" s="1027"/>
      <c r="EP102" s="1027"/>
      <c r="EQ102" s="1027"/>
      <c r="ER102" s="1027"/>
      <c r="ES102" s="1027"/>
      <c r="ET102" s="1028"/>
      <c r="EU102" s="1023" t="s">
        <v>322</v>
      </c>
      <c r="EV102" s="1027"/>
      <c r="EW102" s="1027"/>
      <c r="EX102" s="1027"/>
      <c r="EY102" s="1027"/>
      <c r="EZ102" s="1027"/>
      <c r="FA102" s="1027"/>
      <c r="FB102" s="1028"/>
    </row>
    <row r="103" spans="2:158">
      <c r="B103" s="755"/>
      <c r="C103" s="1032"/>
      <c r="D103" s="1033"/>
      <c r="E103" s="1033"/>
      <c r="F103" s="1033"/>
      <c r="G103" s="1033"/>
      <c r="H103" s="1033"/>
      <c r="I103" s="1033"/>
      <c r="J103" s="1033"/>
      <c r="K103" s="1033"/>
      <c r="L103" s="1033"/>
      <c r="M103" s="1033"/>
      <c r="O103" s="590" t="s">
        <v>21</v>
      </c>
      <c r="P103" s="1034" t="s">
        <v>323</v>
      </c>
      <c r="Q103" s="1027"/>
      <c r="R103" s="1027"/>
      <c r="S103" s="1027"/>
      <c r="T103" s="1027"/>
      <c r="U103" s="1027"/>
      <c r="V103" s="1027"/>
      <c r="W103" s="1028"/>
      <c r="X103" s="672">
        <v>-10</v>
      </c>
      <c r="Y103" s="630"/>
      <c r="Z103" s="1031" t="s">
        <v>324</v>
      </c>
      <c r="AA103" s="1027"/>
      <c r="AB103" s="1027"/>
      <c r="AC103" s="1027"/>
      <c r="AD103" s="1027"/>
      <c r="AE103" s="1027"/>
      <c r="AF103" s="1027"/>
      <c r="AG103" s="1028"/>
      <c r="AH103" s="673"/>
      <c r="AI103" s="673">
        <f>IF(AH103="Y",X103,IF(AH103="N",Y103,0))</f>
        <v>0</v>
      </c>
      <c r="AY103" s="668" t="s">
        <v>228</v>
      </c>
      <c r="AZ103" s="668" t="s">
        <v>223</v>
      </c>
      <c r="BA103" s="668">
        <f>X66</f>
        <v>20</v>
      </c>
      <c r="BB103" s="668" t="s">
        <v>21</v>
      </c>
      <c r="BC103" s="668" t="str">
        <f>P66</f>
        <v>5y</v>
      </c>
      <c r="BD103" s="668" t="str">
        <f t="shared" si="3"/>
        <v>5y</v>
      </c>
      <c r="BE103" s="668" t="str">
        <f t="shared" si="4"/>
        <v>Issue:  5y (20 points)</v>
      </c>
      <c r="EE103" s="1031"/>
      <c r="EF103" s="1027"/>
      <c r="EG103" s="1027"/>
      <c r="EH103" s="1027"/>
      <c r="EI103" s="1027"/>
      <c r="EJ103" s="1027"/>
      <c r="EK103" s="1027"/>
      <c r="EL103" s="1028"/>
      <c r="EM103" s="1023" t="s">
        <v>154</v>
      </c>
      <c r="EN103" s="1027"/>
      <c r="EO103" s="1027"/>
      <c r="EP103" s="1027"/>
      <c r="EQ103" s="1027"/>
      <c r="ER103" s="1027"/>
      <c r="ES103" s="1027"/>
      <c r="ET103" s="1028"/>
      <c r="EU103" s="1023" t="s">
        <v>325</v>
      </c>
      <c r="EV103" s="1027"/>
      <c r="EW103" s="1027"/>
      <c r="EX103" s="1027"/>
      <c r="EY103" s="1027"/>
      <c r="EZ103" s="1027"/>
      <c r="FA103" s="1027"/>
      <c r="FB103" s="1028"/>
    </row>
    <row r="104" spans="2:158">
      <c r="B104" s="755"/>
      <c r="C104" s="1032"/>
      <c r="D104" s="1033"/>
      <c r="E104" s="1033"/>
      <c r="F104" s="1033"/>
      <c r="G104" s="1033"/>
      <c r="H104" s="1033"/>
      <c r="I104" s="1033"/>
      <c r="J104" s="1033"/>
      <c r="K104" s="1033"/>
      <c r="L104" s="1033"/>
      <c r="M104" s="1033"/>
      <c r="O104" s="1026" t="str">
        <f>Y34</f>
        <v>MODEL PEDIGREE</v>
      </c>
      <c r="P104" s="1027"/>
      <c r="Q104" s="1027"/>
      <c r="R104" s="1027"/>
      <c r="S104" s="1027"/>
      <c r="T104" s="1027"/>
      <c r="U104" s="1027"/>
      <c r="V104" s="1027"/>
      <c r="W104" s="1028"/>
      <c r="X104" s="670" t="s">
        <v>206</v>
      </c>
      <c r="Y104" s="670" t="s">
        <v>207</v>
      </c>
      <c r="Z104" s="1037" t="s">
        <v>208</v>
      </c>
      <c r="AA104" s="1027"/>
      <c r="AB104" s="1027"/>
      <c r="AC104" s="1027"/>
      <c r="AD104" s="1027"/>
      <c r="AE104" s="1027"/>
      <c r="AF104" s="1027"/>
      <c r="AG104" s="1028"/>
      <c r="AH104" s="670" t="s">
        <v>209</v>
      </c>
      <c r="AI104" s="670" t="s">
        <v>210</v>
      </c>
      <c r="AY104" s="668" t="s">
        <v>211</v>
      </c>
      <c r="AZ104" s="668" t="s">
        <v>26</v>
      </c>
      <c r="BA104" s="668" t="str">
        <f>AH66</f>
        <v>N</v>
      </c>
      <c r="BB104" s="668" t="s">
        <v>21</v>
      </c>
      <c r="BC104" s="668" t="str">
        <f>Z66</f>
        <v>Is the company's five-year revenue CAGR strong?</v>
      </c>
      <c r="BD104" s="668" t="str">
        <f t="shared" si="3"/>
        <v>Is the company's five-year revenue CAGR strong?</v>
      </c>
      <c r="BE104" s="668" t="str">
        <f t="shared" si="4"/>
        <v>Issue:  Is the company's five-year revenue CAGR strong? (N points)</v>
      </c>
      <c r="EE104" s="1037" t="s">
        <v>212</v>
      </c>
      <c r="EF104" s="1027"/>
      <c r="EG104" s="1027"/>
      <c r="EH104" s="1027"/>
      <c r="EI104" s="1027"/>
      <c r="EJ104" s="1027"/>
      <c r="EK104" s="1027"/>
      <c r="EL104" s="1028"/>
      <c r="EM104" s="1037" t="s">
        <v>213</v>
      </c>
      <c r="EN104" s="1027"/>
      <c r="EO104" s="1027"/>
      <c r="EP104" s="1027"/>
      <c r="EQ104" s="1027"/>
      <c r="ER104" s="1027"/>
      <c r="ES104" s="1027"/>
      <c r="ET104" s="1028"/>
      <c r="EU104" s="1037" t="s">
        <v>214</v>
      </c>
      <c r="EV104" s="1027"/>
      <c r="EW104" s="1027"/>
      <c r="EX104" s="1027"/>
      <c r="EY104" s="1027"/>
      <c r="EZ104" s="1027"/>
      <c r="FA104" s="1027"/>
      <c r="FB104" s="1028"/>
    </row>
    <row r="105" spans="2:158">
      <c r="B105" s="755"/>
      <c r="C105" s="1032"/>
      <c r="D105" s="1033"/>
      <c r="E105" s="1033"/>
      <c r="F105" s="1033"/>
      <c r="G105" s="1033"/>
      <c r="H105" s="1033"/>
      <c r="I105" s="1033"/>
      <c r="J105" s="1033"/>
      <c r="K105" s="1033"/>
      <c r="L105" s="1033"/>
      <c r="M105" s="1033"/>
      <c r="O105" s="674" t="s">
        <v>21</v>
      </c>
      <c r="P105" s="1066" t="s">
        <v>326</v>
      </c>
      <c r="Q105" s="1027"/>
      <c r="R105" s="1027"/>
      <c r="S105" s="1027"/>
      <c r="T105" s="1027"/>
      <c r="U105" s="1027"/>
      <c r="V105" s="1027"/>
      <c r="W105" s="1028"/>
      <c r="X105" s="672">
        <v>-10</v>
      </c>
      <c r="Y105" s="630"/>
      <c r="Z105" s="1031" t="s">
        <v>327</v>
      </c>
      <c r="AA105" s="1027"/>
      <c r="AB105" s="1027"/>
      <c r="AC105" s="1027"/>
      <c r="AD105" s="1027"/>
      <c r="AE105" s="1027"/>
      <c r="AF105" s="1027"/>
      <c r="AG105" s="1028"/>
      <c r="AH105" s="673"/>
      <c r="AI105" s="673">
        <f>IF(AH105="Y",X105,IF(AH105="N",Y105,0))</f>
        <v>0</v>
      </c>
      <c r="AY105" s="668" t="s">
        <v>217</v>
      </c>
      <c r="AZ105" s="668" t="s">
        <v>217</v>
      </c>
      <c r="BA105" s="668" t="str">
        <f>AH68</f>
        <v>Y/N</v>
      </c>
      <c r="BB105" s="668" t="s">
        <v>130</v>
      </c>
      <c r="BC105" s="668"/>
      <c r="BD105" s="668" t="str">
        <f t="shared" si="3"/>
        <v/>
      </c>
      <c r="BE105" s="668" t="str">
        <f t="shared" si="4"/>
        <v>Consistency Score:  Y/N</v>
      </c>
      <c r="EE105" s="1031"/>
      <c r="EF105" s="1027"/>
      <c r="EG105" s="1027"/>
      <c r="EH105" s="1027"/>
      <c r="EI105" s="1027"/>
      <c r="EJ105" s="1027"/>
      <c r="EK105" s="1027"/>
      <c r="EL105" s="1028"/>
      <c r="EM105" s="1023" t="s">
        <v>328</v>
      </c>
      <c r="EN105" s="1027"/>
      <c r="EO105" s="1027"/>
      <c r="EP105" s="1027"/>
      <c r="EQ105" s="1027"/>
      <c r="ER105" s="1027"/>
      <c r="ES105" s="1027"/>
      <c r="ET105" s="1028"/>
      <c r="EU105" s="1023" t="s">
        <v>150</v>
      </c>
      <c r="EV105" s="1027"/>
      <c r="EW105" s="1027"/>
      <c r="EX105" s="1027"/>
      <c r="EY105" s="1027"/>
      <c r="EZ105" s="1027"/>
      <c r="FA105" s="1027"/>
      <c r="FB105" s="1028"/>
    </row>
    <row r="106" spans="2:158">
      <c r="B106" s="755"/>
      <c r="C106" s="1067"/>
      <c r="D106" s="1033"/>
      <c r="E106" s="1033"/>
      <c r="F106" s="1033"/>
      <c r="G106" s="1033"/>
      <c r="H106" s="1033"/>
      <c r="I106" s="1033"/>
      <c r="J106" s="1033"/>
      <c r="K106" s="1033"/>
      <c r="L106" s="1033"/>
      <c r="M106" s="1033"/>
      <c r="O106" s="591" t="s">
        <v>21</v>
      </c>
      <c r="P106" s="1035" t="s">
        <v>329</v>
      </c>
      <c r="Q106" s="1027"/>
      <c r="R106" s="1027"/>
      <c r="S106" s="1027"/>
      <c r="T106" s="1027"/>
      <c r="U106" s="1027"/>
      <c r="V106" s="1027"/>
      <c r="W106" s="1028"/>
      <c r="X106" s="671">
        <v>20</v>
      </c>
      <c r="Y106" s="630"/>
      <c r="Z106" s="1031" t="s">
        <v>330</v>
      </c>
      <c r="AA106" s="1027"/>
      <c r="AB106" s="1027"/>
      <c r="AC106" s="1027"/>
      <c r="AD106" s="1027"/>
      <c r="AE106" s="1027"/>
      <c r="AF106" s="1027"/>
      <c r="AG106" s="1028"/>
      <c r="AH106" s="673" t="e">
        <f>'quantitative answers'!K18</f>
        <v>#NAME?</v>
      </c>
      <c r="AI106" s="673" t="e">
        <f t="shared" ref="AI106:AI107" si="5">IF(AH106="Y",X106,IF(AH106="N",Y106,0))</f>
        <v>#NAME?</v>
      </c>
      <c r="AY106" s="668" t="s">
        <v>222</v>
      </c>
      <c r="AZ106" s="668" t="s">
        <v>223</v>
      </c>
      <c r="BA106" s="668">
        <f>X69</f>
        <v>-10</v>
      </c>
      <c r="BB106" s="668" t="s">
        <v>138</v>
      </c>
      <c r="BC106" s="668"/>
      <c r="BD106" s="668" t="str">
        <f t="shared" si="3"/>
        <v/>
      </c>
      <c r="BE106" s="668" t="str">
        <f t="shared" si="4"/>
        <v>Recurrence Score:  -10</v>
      </c>
      <c r="EE106" s="1031"/>
      <c r="EF106" s="1027"/>
      <c r="EG106" s="1027"/>
      <c r="EH106" s="1027"/>
      <c r="EI106" s="1027"/>
      <c r="EJ106" s="1027"/>
      <c r="EK106" s="1027"/>
      <c r="EL106" s="1028"/>
      <c r="EM106" s="1023" t="s">
        <v>331</v>
      </c>
      <c r="EN106" s="1027"/>
      <c r="EO106" s="1027"/>
      <c r="EP106" s="1027"/>
      <c r="EQ106" s="1027"/>
      <c r="ER106" s="1027"/>
      <c r="ES106" s="1027"/>
      <c r="ET106" s="1028"/>
      <c r="EU106" s="1023" t="s">
        <v>332</v>
      </c>
      <c r="EV106" s="1027"/>
      <c r="EW106" s="1027"/>
      <c r="EX106" s="1027"/>
      <c r="EY106" s="1027"/>
      <c r="EZ106" s="1027"/>
      <c r="FA106" s="1027"/>
      <c r="FB106" s="1028"/>
    </row>
    <row r="107" spans="2:158">
      <c r="O107" s="591" t="s">
        <v>21</v>
      </c>
      <c r="P107" s="1044" t="s">
        <v>333</v>
      </c>
      <c r="Q107" s="1027"/>
      <c r="R107" s="1027"/>
      <c r="S107" s="1027"/>
      <c r="T107" s="1027"/>
      <c r="U107" s="1027"/>
      <c r="V107" s="1027"/>
      <c r="W107" s="1028"/>
      <c r="X107" s="672">
        <v>-20</v>
      </c>
      <c r="Y107" s="630"/>
      <c r="Z107" s="1031" t="s">
        <v>334</v>
      </c>
      <c r="AA107" s="1027"/>
      <c r="AB107" s="1027"/>
      <c r="AC107" s="1027"/>
      <c r="AD107" s="1027"/>
      <c r="AE107" s="1027"/>
      <c r="AF107" s="1027"/>
      <c r="AG107" s="1028"/>
      <c r="AH107" s="673" t="e">
        <f>'quantitative answers'!K19</f>
        <v>#NAME?</v>
      </c>
      <c r="AI107" s="673" t="e">
        <f t="shared" si="5"/>
        <v>#NAME?</v>
      </c>
      <c r="AY107" s="668" t="s">
        <v>228</v>
      </c>
      <c r="AZ107" s="668" t="s">
        <v>223</v>
      </c>
      <c r="BA107" s="668">
        <f>X70</f>
        <v>-20</v>
      </c>
      <c r="BB107" s="668" t="s">
        <v>21</v>
      </c>
      <c r="BC107" s="668" t="str">
        <f>P70</f>
        <v>financial institution</v>
      </c>
      <c r="BD107" s="668" t="str">
        <f t="shared" si="3"/>
        <v>financial institution</v>
      </c>
      <c r="BE107" s="668" t="str">
        <f t="shared" si="4"/>
        <v>Issue:  financial institution (-20 points)</v>
      </c>
      <c r="EE107" s="1031"/>
      <c r="EF107" s="1027"/>
      <c r="EG107" s="1027"/>
      <c r="EH107" s="1027"/>
      <c r="EI107" s="1027"/>
      <c r="EJ107" s="1027"/>
      <c r="EK107" s="1027"/>
      <c r="EL107" s="1028"/>
      <c r="EM107" s="1023" t="s">
        <v>335</v>
      </c>
      <c r="EN107" s="1027"/>
      <c r="EO107" s="1027"/>
      <c r="EP107" s="1027"/>
      <c r="EQ107" s="1027"/>
      <c r="ER107" s="1027"/>
      <c r="ES107" s="1027"/>
      <c r="ET107" s="1028"/>
      <c r="EU107" s="1023" t="s">
        <v>336</v>
      </c>
      <c r="EV107" s="1027"/>
      <c r="EW107" s="1027"/>
      <c r="EX107" s="1027"/>
      <c r="EY107" s="1027"/>
      <c r="EZ107" s="1027"/>
      <c r="FA107" s="1027"/>
      <c r="FB107" s="1028"/>
    </row>
    <row r="108" spans="2:158">
      <c r="B108" s="755"/>
      <c r="C108" s="1032"/>
      <c r="D108" s="1033"/>
      <c r="E108" s="1033"/>
      <c r="F108" s="1033"/>
      <c r="G108" s="1033"/>
      <c r="H108" s="1033"/>
      <c r="I108" s="1033"/>
      <c r="J108" s="1033"/>
      <c r="K108" s="1033"/>
      <c r="L108" s="1033"/>
      <c r="M108" s="1033"/>
      <c r="O108" s="1026" t="str">
        <f>O39</f>
        <v>MANAGEMENT QUALITY</v>
      </c>
      <c r="P108" s="1027"/>
      <c r="Q108" s="1027"/>
      <c r="R108" s="1027"/>
      <c r="S108" s="1027"/>
      <c r="T108" s="1027"/>
      <c r="U108" s="1027"/>
      <c r="V108" s="1027"/>
      <c r="W108" s="1028"/>
      <c r="X108" s="670" t="s">
        <v>206</v>
      </c>
      <c r="Y108" s="670" t="s">
        <v>207</v>
      </c>
      <c r="Z108" s="1037" t="s">
        <v>208</v>
      </c>
      <c r="AA108" s="1027"/>
      <c r="AB108" s="1027"/>
      <c r="AC108" s="1027"/>
      <c r="AD108" s="1027"/>
      <c r="AE108" s="1027"/>
      <c r="AF108" s="1027"/>
      <c r="AG108" s="1028"/>
      <c r="AH108" s="670" t="s">
        <v>209</v>
      </c>
      <c r="AI108" s="670" t="s">
        <v>210</v>
      </c>
      <c r="AY108" s="668" t="s">
        <v>211</v>
      </c>
      <c r="AZ108" s="668" t="s">
        <v>26</v>
      </c>
      <c r="BA108" s="668" t="e">
        <f>#REF!</f>
        <v>#REF!</v>
      </c>
      <c r="BB108" s="668" t="s">
        <v>21</v>
      </c>
      <c r="BC108" s="668" t="str">
        <f>Z70</f>
        <v>Is the company a financial institution?</v>
      </c>
      <c r="BD108" s="668" t="str">
        <f t="shared" si="3"/>
        <v>Is the company a financial institution?</v>
      </c>
      <c r="BE108" s="668" t="str">
        <f t="shared" si="4"/>
        <v/>
      </c>
      <c r="EE108" s="1037" t="s">
        <v>212</v>
      </c>
      <c r="EF108" s="1027"/>
      <c r="EG108" s="1027"/>
      <c r="EH108" s="1027"/>
      <c r="EI108" s="1027"/>
      <c r="EJ108" s="1027"/>
      <c r="EK108" s="1027"/>
      <c r="EL108" s="1028"/>
      <c r="EM108" s="1037" t="s">
        <v>213</v>
      </c>
      <c r="EN108" s="1027"/>
      <c r="EO108" s="1027"/>
      <c r="EP108" s="1027"/>
      <c r="EQ108" s="1027"/>
      <c r="ER108" s="1027"/>
      <c r="ES108" s="1027"/>
      <c r="ET108" s="1028"/>
      <c r="EU108" s="1037" t="s">
        <v>214</v>
      </c>
      <c r="EV108" s="1027"/>
      <c r="EW108" s="1027"/>
      <c r="EX108" s="1027"/>
      <c r="EY108" s="1027"/>
      <c r="EZ108" s="1027"/>
      <c r="FA108" s="1027"/>
      <c r="FB108" s="1028"/>
    </row>
    <row r="109" spans="2:158">
      <c r="B109" s="755"/>
      <c r="C109" s="1032"/>
      <c r="D109" s="1033"/>
      <c r="E109" s="1033"/>
      <c r="F109" s="1033"/>
      <c r="G109" s="1033"/>
      <c r="H109" s="1033"/>
      <c r="I109" s="1033"/>
      <c r="J109" s="1033"/>
      <c r="K109" s="1033"/>
      <c r="L109" s="1033"/>
      <c r="M109" s="1033"/>
      <c r="O109" s="590" t="s">
        <v>21</v>
      </c>
      <c r="P109" s="1035" t="s">
        <v>337</v>
      </c>
      <c r="Q109" s="1027"/>
      <c r="R109" s="1027"/>
      <c r="S109" s="1027"/>
      <c r="T109" s="1027"/>
      <c r="U109" s="1027"/>
      <c r="V109" s="1027"/>
      <c r="W109" s="1028"/>
      <c r="X109" s="671">
        <v>20</v>
      </c>
      <c r="Y109" s="672">
        <v>-10</v>
      </c>
      <c r="Z109" s="1031" t="s">
        <v>338</v>
      </c>
      <c r="AA109" s="1027"/>
      <c r="AB109" s="1027"/>
      <c r="AC109" s="1027"/>
      <c r="AD109" s="1027"/>
      <c r="AE109" s="1027"/>
      <c r="AF109" s="1027"/>
      <c r="AG109" s="1028"/>
      <c r="AH109" s="673" t="str">
        <f>'quantitative answers'!K21</f>
        <v>N</v>
      </c>
      <c r="AI109" s="673">
        <f>IF(AH109="Y",X109,IF(AH109="N",Y109,0))</f>
        <v>-10</v>
      </c>
      <c r="AY109" s="668" t="s">
        <v>217</v>
      </c>
      <c r="AZ109" s="668" t="s">
        <v>217</v>
      </c>
      <c r="BA109" s="668" t="str">
        <f>AH72</f>
        <v>Y/N</v>
      </c>
      <c r="BB109" s="668" t="s">
        <v>130</v>
      </c>
      <c r="BC109" s="668"/>
      <c r="BD109" s="668" t="str">
        <f t="shared" si="3"/>
        <v/>
      </c>
      <c r="BE109" s="668" t="str">
        <f t="shared" si="4"/>
        <v>Consistency Score:  Y/N</v>
      </c>
      <c r="EE109" s="1031"/>
      <c r="EF109" s="1027"/>
      <c r="EG109" s="1027"/>
      <c r="EH109" s="1027"/>
      <c r="EI109" s="1027"/>
      <c r="EJ109" s="1027"/>
      <c r="EK109" s="1027"/>
      <c r="EL109" s="1028"/>
      <c r="EM109" s="1031" t="s">
        <v>339</v>
      </c>
      <c r="EN109" s="1027"/>
      <c r="EO109" s="1027"/>
      <c r="EP109" s="1027"/>
      <c r="EQ109" s="1027"/>
      <c r="ER109" s="1027"/>
      <c r="ES109" s="1027"/>
      <c r="ET109" s="1028"/>
      <c r="EU109" s="1031" t="s">
        <v>340</v>
      </c>
      <c r="EV109" s="1027"/>
      <c r="EW109" s="1027"/>
      <c r="EX109" s="1027"/>
      <c r="EY109" s="1027"/>
      <c r="EZ109" s="1027"/>
      <c r="FA109" s="1027"/>
      <c r="FB109" s="1028"/>
    </row>
    <row r="110" spans="2:158">
      <c r="B110" s="755"/>
      <c r="C110" s="1032"/>
      <c r="D110" s="1033"/>
      <c r="E110" s="1033"/>
      <c r="F110" s="1033"/>
      <c r="G110" s="1033"/>
      <c r="H110" s="1033"/>
      <c r="I110" s="1033"/>
      <c r="J110" s="1033"/>
      <c r="K110" s="1033"/>
      <c r="L110" s="1033"/>
      <c r="M110" s="1033"/>
      <c r="O110" s="590" t="s">
        <v>21</v>
      </c>
      <c r="P110" s="1035" t="s">
        <v>341</v>
      </c>
      <c r="Q110" s="1027"/>
      <c r="R110" s="1027"/>
      <c r="S110" s="1027"/>
      <c r="T110" s="1027"/>
      <c r="U110" s="1027"/>
      <c r="V110" s="1027"/>
      <c r="W110" s="1028"/>
      <c r="X110" s="671">
        <v>10</v>
      </c>
      <c r="Y110" s="672">
        <v>-10</v>
      </c>
      <c r="Z110" s="1031" t="s">
        <v>342</v>
      </c>
      <c r="AA110" s="1027"/>
      <c r="AB110" s="1027"/>
      <c r="AC110" s="1027"/>
      <c r="AD110" s="1027"/>
      <c r="AE110" s="1027"/>
      <c r="AF110" s="1027"/>
      <c r="AG110" s="1028"/>
      <c r="AH110" s="673" t="e">
        <f>'quantitative answers'!K22</f>
        <v>#VALUE!</v>
      </c>
      <c r="AI110" s="673" t="e">
        <f t="shared" ref="AI110:AI111" si="6">IF(AH110="Y",X110,IF(AH110="N",Y110,0))</f>
        <v>#VALUE!</v>
      </c>
      <c r="AY110" s="668" t="s">
        <v>222</v>
      </c>
      <c r="AZ110" s="668" t="s">
        <v>223</v>
      </c>
      <c r="BA110" s="668">
        <f>X73</f>
        <v>20</v>
      </c>
      <c r="BB110" s="668" t="s">
        <v>138</v>
      </c>
      <c r="BC110" s="668"/>
      <c r="BD110" s="668" t="str">
        <f t="shared" si="3"/>
        <v/>
      </c>
      <c r="BE110" s="668" t="str">
        <f t="shared" si="4"/>
        <v>Recurrence Score:  20</v>
      </c>
      <c r="EE110" s="1031"/>
      <c r="EF110" s="1027"/>
      <c r="EG110" s="1027"/>
      <c r="EH110" s="1027"/>
      <c r="EI110" s="1027"/>
      <c r="EJ110" s="1027"/>
      <c r="EK110" s="1027"/>
      <c r="EL110" s="1028"/>
      <c r="EM110" s="1031" t="s">
        <v>343</v>
      </c>
      <c r="EN110" s="1027"/>
      <c r="EO110" s="1027"/>
      <c r="EP110" s="1027"/>
      <c r="EQ110" s="1027"/>
      <c r="ER110" s="1027"/>
      <c r="ES110" s="1027"/>
      <c r="ET110" s="1028"/>
      <c r="EU110" s="1031" t="s">
        <v>344</v>
      </c>
      <c r="EV110" s="1027"/>
      <c r="EW110" s="1027"/>
      <c r="EX110" s="1027"/>
      <c r="EY110" s="1027"/>
      <c r="EZ110" s="1027"/>
      <c r="FA110" s="1027"/>
      <c r="FB110" s="1028"/>
    </row>
    <row r="111" spans="2:158">
      <c r="B111" s="755"/>
      <c r="C111" s="1032"/>
      <c r="D111" s="1033"/>
      <c r="E111" s="1033"/>
      <c r="F111" s="1033"/>
      <c r="G111" s="1033"/>
      <c r="H111" s="1033"/>
      <c r="I111" s="1033"/>
      <c r="J111" s="1033"/>
      <c r="K111" s="1033"/>
      <c r="L111" s="1033"/>
      <c r="M111" s="1033"/>
      <c r="O111" s="590" t="s">
        <v>21</v>
      </c>
      <c r="P111" s="1044" t="s">
        <v>345</v>
      </c>
      <c r="Q111" s="1027"/>
      <c r="R111" s="1027"/>
      <c r="S111" s="1027"/>
      <c r="T111" s="1027"/>
      <c r="U111" s="1027"/>
      <c r="V111" s="1027"/>
      <c r="W111" s="1028"/>
      <c r="X111" s="671">
        <v>20</v>
      </c>
      <c r="Y111" s="672">
        <v>-10</v>
      </c>
      <c r="Z111" s="1031" t="s">
        <v>346</v>
      </c>
      <c r="AA111" s="1027"/>
      <c r="AB111" s="1027"/>
      <c r="AC111" s="1027"/>
      <c r="AD111" s="1027"/>
      <c r="AE111" s="1027"/>
      <c r="AF111" s="1027"/>
      <c r="AG111" s="1028"/>
      <c r="AH111" s="673" t="e">
        <f>'quantitative answers'!K23</f>
        <v>#VALUE!</v>
      </c>
      <c r="AI111" s="673" t="e">
        <f t="shared" si="6"/>
        <v>#VALUE!</v>
      </c>
      <c r="AY111" s="668" t="s">
        <v>228</v>
      </c>
      <c r="AZ111" s="668" t="s">
        <v>223</v>
      </c>
      <c r="BA111" s="668">
        <f>X74</f>
        <v>20</v>
      </c>
      <c r="BB111" s="668" t="s">
        <v>21</v>
      </c>
      <c r="BC111" s="668" t="str">
        <f>P74</f>
        <v>inventory management</v>
      </c>
      <c r="BD111" s="668" t="str">
        <f t="shared" si="3"/>
        <v>inventory management</v>
      </c>
      <c r="BE111" s="668" t="str">
        <f t="shared" si="4"/>
        <v>Issue:  inventory management (20 points)</v>
      </c>
      <c r="EE111" s="1031"/>
      <c r="EF111" s="1027"/>
      <c r="EG111" s="1027"/>
      <c r="EH111" s="1027"/>
      <c r="EI111" s="1027"/>
      <c r="EJ111" s="1027"/>
      <c r="EK111" s="1027"/>
      <c r="EL111" s="1028"/>
      <c r="EM111" s="1031" t="s">
        <v>347</v>
      </c>
      <c r="EN111" s="1027"/>
      <c r="EO111" s="1027"/>
      <c r="EP111" s="1027"/>
      <c r="EQ111" s="1027"/>
      <c r="ER111" s="1027"/>
      <c r="ES111" s="1027"/>
      <c r="ET111" s="1028"/>
      <c r="EU111" s="1031" t="s">
        <v>348</v>
      </c>
      <c r="EV111" s="1027"/>
      <c r="EW111" s="1027"/>
      <c r="EX111" s="1027"/>
      <c r="EY111" s="1027"/>
      <c r="EZ111" s="1027"/>
      <c r="FA111" s="1027"/>
      <c r="FB111" s="1028"/>
    </row>
    <row r="112" spans="2:158">
      <c r="B112" s="755"/>
      <c r="C112" s="1032"/>
      <c r="D112" s="1033"/>
      <c r="E112" s="1033"/>
      <c r="F112" s="1033"/>
      <c r="G112" s="1033"/>
      <c r="H112" s="1033"/>
      <c r="I112" s="1033"/>
      <c r="J112" s="1033"/>
      <c r="K112" s="1033"/>
      <c r="L112" s="1033"/>
      <c r="M112" s="1033"/>
      <c r="O112" s="1026" t="str">
        <f>Y39</f>
        <v>CAPITAL ALLOCATION</v>
      </c>
      <c r="P112" s="1027"/>
      <c r="Q112" s="1027"/>
      <c r="R112" s="1027"/>
      <c r="S112" s="1027"/>
      <c r="T112" s="1027"/>
      <c r="U112" s="1027"/>
      <c r="V112" s="1027"/>
      <c r="W112" s="1028"/>
      <c r="X112" s="670" t="s">
        <v>206</v>
      </c>
      <c r="Y112" s="670" t="s">
        <v>207</v>
      </c>
      <c r="Z112" s="1037" t="s">
        <v>208</v>
      </c>
      <c r="AA112" s="1027"/>
      <c r="AB112" s="1027"/>
      <c r="AC112" s="1027"/>
      <c r="AD112" s="1027"/>
      <c r="AE112" s="1027"/>
      <c r="AF112" s="1027"/>
      <c r="AG112" s="1028"/>
      <c r="AH112" s="670" t="s">
        <v>209</v>
      </c>
      <c r="AI112" s="670" t="s">
        <v>210</v>
      </c>
      <c r="AY112" s="668" t="s">
        <v>211</v>
      </c>
      <c r="AZ112" s="668" t="s">
        <v>26</v>
      </c>
      <c r="BA112" s="668" t="str">
        <f>AH74</f>
        <v>N</v>
      </c>
      <c r="BB112" s="668" t="s">
        <v>21</v>
      </c>
      <c r="BC112" s="668" t="str">
        <f>Z74</f>
        <v>Is the company's inventory management profile strong?</v>
      </c>
      <c r="BD112" s="668" t="str">
        <f t="shared" si="3"/>
        <v>Is the company's inventory management profile strong?</v>
      </c>
      <c r="BE112" s="668" t="str">
        <f t="shared" si="4"/>
        <v>Issue:  Is the company's inventory management profile strong? (N points)</v>
      </c>
      <c r="EE112" s="1037" t="s">
        <v>212</v>
      </c>
      <c r="EF112" s="1027"/>
      <c r="EG112" s="1027"/>
      <c r="EH112" s="1027"/>
      <c r="EI112" s="1027"/>
      <c r="EJ112" s="1027"/>
      <c r="EK112" s="1027"/>
      <c r="EL112" s="1028"/>
      <c r="EM112" s="1037" t="s">
        <v>213</v>
      </c>
      <c r="EN112" s="1027"/>
      <c r="EO112" s="1027"/>
      <c r="EP112" s="1027"/>
      <c r="EQ112" s="1027"/>
      <c r="ER112" s="1027"/>
      <c r="ES112" s="1027"/>
      <c r="ET112" s="1028"/>
      <c r="EU112" s="1037" t="s">
        <v>214</v>
      </c>
      <c r="EV112" s="1027"/>
      <c r="EW112" s="1027"/>
      <c r="EX112" s="1027"/>
      <c r="EY112" s="1027"/>
      <c r="EZ112" s="1027"/>
      <c r="FA112" s="1027"/>
      <c r="FB112" s="1028"/>
    </row>
    <row r="113" spans="2:158">
      <c r="B113" s="755"/>
      <c r="C113" s="1032"/>
      <c r="D113" s="1033"/>
      <c r="E113" s="1033"/>
      <c r="F113" s="1033"/>
      <c r="G113" s="1033"/>
      <c r="H113" s="1033"/>
      <c r="I113" s="1033"/>
      <c r="J113" s="1033"/>
      <c r="K113" s="1033"/>
      <c r="L113" s="1033"/>
      <c r="M113" s="1033"/>
      <c r="O113" s="591" t="s">
        <v>21</v>
      </c>
      <c r="P113" s="1038" t="s">
        <v>349</v>
      </c>
      <c r="Q113" s="1027"/>
      <c r="R113" s="1027"/>
      <c r="S113" s="1027"/>
      <c r="T113" s="1027"/>
      <c r="U113" s="1027"/>
      <c r="V113" s="1027"/>
      <c r="W113" s="1028"/>
      <c r="X113" s="671">
        <v>10</v>
      </c>
      <c r="Y113" s="672">
        <v>-10</v>
      </c>
      <c r="Z113" s="1031" t="s">
        <v>350</v>
      </c>
      <c r="AA113" s="1027"/>
      <c r="AB113" s="1027"/>
      <c r="AC113" s="1027"/>
      <c r="AD113" s="1027"/>
      <c r="AE113" s="1027"/>
      <c r="AF113" s="1027"/>
      <c r="AG113" s="1028"/>
      <c r="AH113" s="673"/>
      <c r="AI113" s="673">
        <f>IF(AH113="Y",X113,IF(AH113="N",Y113,0))</f>
        <v>0</v>
      </c>
      <c r="AY113" s="668" t="s">
        <v>217</v>
      </c>
      <c r="AZ113" s="668" t="s">
        <v>217</v>
      </c>
      <c r="BA113" s="668" t="str">
        <f>AH76</f>
        <v>Y/N</v>
      </c>
      <c r="BB113" s="668" t="s">
        <v>130</v>
      </c>
      <c r="BC113" s="668"/>
      <c r="BD113" s="668" t="str">
        <f t="shared" si="3"/>
        <v/>
      </c>
      <c r="BE113" s="668" t="str">
        <f t="shared" si="4"/>
        <v>Consistency Score:  Y/N</v>
      </c>
      <c r="EE113" s="1031"/>
      <c r="EF113" s="1027"/>
      <c r="EG113" s="1027"/>
      <c r="EH113" s="1027"/>
      <c r="EI113" s="1027"/>
      <c r="EJ113" s="1027"/>
      <c r="EK113" s="1027"/>
      <c r="EL113" s="1028"/>
      <c r="EM113" s="1031" t="s">
        <v>161</v>
      </c>
      <c r="EN113" s="1027"/>
      <c r="EO113" s="1027"/>
      <c r="EP113" s="1027"/>
      <c r="EQ113" s="1027"/>
      <c r="ER113" s="1027"/>
      <c r="ES113" s="1027"/>
      <c r="ET113" s="1028"/>
      <c r="EU113" s="1031" t="s">
        <v>351</v>
      </c>
      <c r="EV113" s="1027"/>
      <c r="EW113" s="1027"/>
      <c r="EX113" s="1027"/>
      <c r="EY113" s="1027"/>
      <c r="EZ113" s="1027"/>
      <c r="FA113" s="1027"/>
      <c r="FB113" s="1028"/>
    </row>
    <row r="114" spans="2:158">
      <c r="C114" s="1020"/>
      <c r="O114" s="591" t="s">
        <v>21</v>
      </c>
      <c r="P114" s="1035" t="s">
        <v>352</v>
      </c>
      <c r="Q114" s="1027"/>
      <c r="R114" s="1027"/>
      <c r="S114" s="1027"/>
      <c r="T114" s="1027"/>
      <c r="U114" s="1027"/>
      <c r="V114" s="1027"/>
      <c r="W114" s="1028"/>
      <c r="X114" s="671">
        <v>10</v>
      </c>
      <c r="Y114" s="630"/>
      <c r="Z114" s="1031" t="s">
        <v>353</v>
      </c>
      <c r="AA114" s="1027"/>
      <c r="AB114" s="1027"/>
      <c r="AC114" s="1027"/>
      <c r="AD114" s="1027"/>
      <c r="AE114" s="1027"/>
      <c r="AF114" s="1027"/>
      <c r="AG114" s="1028"/>
      <c r="AH114" s="673" t="str">
        <f>'quantitative answers'!K25</f>
        <v>N</v>
      </c>
      <c r="AI114" s="673">
        <f>IF(AH114="Y",X114,IF(AH114="N",Y114,0))</f>
        <v>0</v>
      </c>
      <c r="AY114" s="668" t="s">
        <v>222</v>
      </c>
      <c r="AZ114" s="668" t="s">
        <v>223</v>
      </c>
      <c r="BA114" s="668">
        <f>X77</f>
        <v>20</v>
      </c>
      <c r="BB114" s="668" t="s">
        <v>138</v>
      </c>
      <c r="BC114" s="668"/>
      <c r="BD114" s="668" t="str">
        <f t="shared" si="3"/>
        <v/>
      </c>
      <c r="BE114" s="668" t="str">
        <f t="shared" si="4"/>
        <v>Recurrence Score:  20</v>
      </c>
      <c r="EE114" s="1031"/>
      <c r="EF114" s="1027"/>
      <c r="EG114" s="1027"/>
      <c r="EH114" s="1027"/>
      <c r="EI114" s="1027"/>
      <c r="EJ114" s="1027"/>
      <c r="EK114" s="1027"/>
      <c r="EL114" s="1028"/>
      <c r="EM114" s="1031" t="s">
        <v>354</v>
      </c>
      <c r="EN114" s="1027"/>
      <c r="EO114" s="1027"/>
      <c r="EP114" s="1027"/>
      <c r="EQ114" s="1027"/>
      <c r="ER114" s="1027"/>
      <c r="ES114" s="1027"/>
      <c r="ET114" s="1028"/>
      <c r="EU114" s="1031" t="s">
        <v>355</v>
      </c>
      <c r="EV114" s="1027"/>
      <c r="EW114" s="1027"/>
      <c r="EX114" s="1027"/>
      <c r="EY114" s="1027"/>
      <c r="EZ114" s="1027"/>
      <c r="FA114" s="1027"/>
      <c r="FB114" s="1028"/>
    </row>
    <row r="115" spans="2:158">
      <c r="B115" s="755"/>
      <c r="C115" s="1032"/>
      <c r="D115" s="1033"/>
      <c r="E115" s="1033"/>
      <c r="F115" s="1033"/>
      <c r="G115" s="1033"/>
      <c r="H115" s="1033"/>
      <c r="I115" s="1033"/>
      <c r="J115" s="1033"/>
      <c r="K115" s="1033"/>
      <c r="L115" s="1033"/>
      <c r="M115" s="1033"/>
      <c r="O115" s="591" t="s">
        <v>21</v>
      </c>
      <c r="P115" s="1044" t="s">
        <v>356</v>
      </c>
      <c r="Q115" s="1027"/>
      <c r="R115" s="1027"/>
      <c r="S115" s="1027"/>
      <c r="T115" s="1027"/>
      <c r="U115" s="1027"/>
      <c r="V115" s="1027"/>
      <c r="W115" s="1028"/>
      <c r="X115" s="671">
        <v>10</v>
      </c>
      <c r="Y115" s="630"/>
      <c r="Z115" s="1031" t="s">
        <v>357</v>
      </c>
      <c r="AA115" s="1027"/>
      <c r="AB115" s="1027"/>
      <c r="AC115" s="1027"/>
      <c r="AD115" s="1027"/>
      <c r="AE115" s="1027"/>
      <c r="AF115" s="1027"/>
      <c r="AG115" s="1028"/>
      <c r="AH115" s="673" t="str">
        <f>'quantitative answers'!K26</f>
        <v>N</v>
      </c>
      <c r="AI115" s="673">
        <f>IF(AH115="Y",X115,IF(AH115="N",Y115,0))</f>
        <v>0</v>
      </c>
      <c r="AY115" s="668" t="s">
        <v>228</v>
      </c>
      <c r="AZ115" s="668" t="s">
        <v>223</v>
      </c>
      <c r="BA115" s="668">
        <f>X78</f>
        <v>20</v>
      </c>
      <c r="BB115" s="668" t="s">
        <v>21</v>
      </c>
      <c r="BC115" s="668" t="str">
        <f>P78</f>
        <v>switching costs</v>
      </c>
      <c r="BD115" s="668" t="str">
        <f t="shared" si="3"/>
        <v>switching costs</v>
      </c>
      <c r="BE115" s="668" t="str">
        <f t="shared" si="4"/>
        <v>Issue:  switching costs (20 points)</v>
      </c>
      <c r="EE115" s="1031"/>
      <c r="EF115" s="1027"/>
      <c r="EG115" s="1027"/>
      <c r="EH115" s="1027"/>
      <c r="EI115" s="1027"/>
      <c r="EJ115" s="1027"/>
      <c r="EK115" s="1027"/>
      <c r="EL115" s="1028"/>
      <c r="EM115" s="1031" t="s">
        <v>358</v>
      </c>
      <c r="EN115" s="1027"/>
      <c r="EO115" s="1027"/>
      <c r="EP115" s="1027"/>
      <c r="EQ115" s="1027"/>
      <c r="ER115" s="1027"/>
      <c r="ES115" s="1027"/>
      <c r="ET115" s="1028"/>
      <c r="EU115" s="1031" t="s">
        <v>359</v>
      </c>
      <c r="EV115" s="1027"/>
      <c r="EW115" s="1027"/>
      <c r="EX115" s="1027"/>
      <c r="EY115" s="1027"/>
      <c r="EZ115" s="1027"/>
      <c r="FA115" s="1027"/>
      <c r="FB115" s="1028"/>
    </row>
    <row r="116" spans="2:158">
      <c r="B116" s="755"/>
      <c r="C116" s="1032"/>
      <c r="D116" s="1033"/>
      <c r="E116" s="1033"/>
      <c r="F116" s="1033"/>
      <c r="G116" s="1033"/>
      <c r="H116" s="1033"/>
      <c r="I116" s="1033"/>
      <c r="J116" s="1033"/>
      <c r="K116" s="1033"/>
      <c r="L116" s="1033"/>
      <c r="M116" s="1033"/>
      <c r="O116" s="1026" t="str">
        <f>O44</f>
        <v>SHAREHOLDER PROTECTION</v>
      </c>
      <c r="P116" s="1027"/>
      <c r="Q116" s="1027"/>
      <c r="R116" s="1027"/>
      <c r="S116" s="1027"/>
      <c r="T116" s="1027"/>
      <c r="U116" s="1027"/>
      <c r="V116" s="1027"/>
      <c r="W116" s="1028"/>
      <c r="X116" s="670" t="s">
        <v>206</v>
      </c>
      <c r="Y116" s="670" t="s">
        <v>207</v>
      </c>
      <c r="Z116" s="1037" t="s">
        <v>208</v>
      </c>
      <c r="AA116" s="1027"/>
      <c r="AB116" s="1027"/>
      <c r="AC116" s="1027"/>
      <c r="AD116" s="1027"/>
      <c r="AE116" s="1027"/>
      <c r="AF116" s="1027"/>
      <c r="AG116" s="1028"/>
      <c r="AH116" s="670" t="s">
        <v>209</v>
      </c>
      <c r="AI116" s="670" t="s">
        <v>210</v>
      </c>
      <c r="AY116" s="668" t="s">
        <v>211</v>
      </c>
      <c r="AZ116" s="668" t="s">
        <v>26</v>
      </c>
      <c r="BA116" s="668">
        <f>AH78</f>
        <v>0</v>
      </c>
      <c r="BB116" s="668" t="s">
        <v>21</v>
      </c>
      <c r="BC116" s="668" t="str">
        <f>Z78</f>
        <v>Does the company benefit from high switching costs?</v>
      </c>
      <c r="BD116" s="668" t="str">
        <f t="shared" si="3"/>
        <v>Does the company benefit from high switching costs?</v>
      </c>
      <c r="BE116" s="668" t="str">
        <f t="shared" si="4"/>
        <v>Issue:  Does the company benefit from high switching costs? (0 points)</v>
      </c>
      <c r="EE116" s="1037" t="s">
        <v>212</v>
      </c>
      <c r="EF116" s="1027"/>
      <c r="EG116" s="1027"/>
      <c r="EH116" s="1027"/>
      <c r="EI116" s="1027"/>
      <c r="EJ116" s="1027"/>
      <c r="EK116" s="1027"/>
      <c r="EL116" s="1028"/>
      <c r="EM116" s="1037" t="s">
        <v>213</v>
      </c>
      <c r="EN116" s="1027"/>
      <c r="EO116" s="1027"/>
      <c r="EP116" s="1027"/>
      <c r="EQ116" s="1027"/>
      <c r="ER116" s="1027"/>
      <c r="ES116" s="1027"/>
      <c r="ET116" s="1028"/>
      <c r="EU116" s="1037" t="s">
        <v>214</v>
      </c>
      <c r="EV116" s="1027"/>
      <c r="EW116" s="1027"/>
      <c r="EX116" s="1027"/>
      <c r="EY116" s="1027"/>
      <c r="EZ116" s="1027"/>
      <c r="FA116" s="1027"/>
      <c r="FB116" s="1028"/>
    </row>
    <row r="117" spans="2:158">
      <c r="B117" s="755"/>
      <c r="C117" s="1032"/>
      <c r="D117" s="1033"/>
      <c r="E117" s="1033"/>
      <c r="F117" s="1033"/>
      <c r="G117" s="1033"/>
      <c r="H117" s="1033"/>
      <c r="I117" s="1033"/>
      <c r="J117" s="1033"/>
      <c r="K117" s="1033"/>
      <c r="L117" s="1033"/>
      <c r="M117" s="1033"/>
      <c r="O117" s="590" t="s">
        <v>21</v>
      </c>
      <c r="P117" s="1038" t="s">
        <v>360</v>
      </c>
      <c r="Q117" s="1027"/>
      <c r="R117" s="1027"/>
      <c r="S117" s="1027"/>
      <c r="T117" s="1027"/>
      <c r="U117" s="1027"/>
      <c r="V117" s="1027"/>
      <c r="W117" s="1028"/>
      <c r="X117" s="672">
        <v>-10</v>
      </c>
      <c r="Y117" s="630"/>
      <c r="Z117" s="1031" t="s">
        <v>361</v>
      </c>
      <c r="AA117" s="1027"/>
      <c r="AB117" s="1027"/>
      <c r="AC117" s="1027"/>
      <c r="AD117" s="1027"/>
      <c r="AE117" s="1027"/>
      <c r="AF117" s="1027"/>
      <c r="AG117" s="1028"/>
      <c r="AH117" s="673"/>
      <c r="AI117" s="673">
        <f>IF(AH117="Y",X117,IF(AH117="N",Y117,0))</f>
        <v>0</v>
      </c>
      <c r="AY117" s="668" t="s">
        <v>217</v>
      </c>
      <c r="AZ117" s="668" t="s">
        <v>217</v>
      </c>
      <c r="BA117" s="668" t="str">
        <f>AH80</f>
        <v>Y/N</v>
      </c>
      <c r="BB117" s="668" t="s">
        <v>130</v>
      </c>
      <c r="BC117" s="668"/>
      <c r="BD117" s="668" t="str">
        <f t="shared" si="3"/>
        <v/>
      </c>
      <c r="BE117" s="668" t="str">
        <f t="shared" si="4"/>
        <v>Consistency Score:  Y/N</v>
      </c>
      <c r="EE117" s="1031"/>
      <c r="EF117" s="1027"/>
      <c r="EG117" s="1027"/>
      <c r="EH117" s="1027"/>
      <c r="EI117" s="1027"/>
      <c r="EJ117" s="1027"/>
      <c r="EK117" s="1027"/>
      <c r="EL117" s="1028"/>
      <c r="EM117" s="1023" t="s">
        <v>170</v>
      </c>
      <c r="EN117" s="1027"/>
      <c r="EO117" s="1027"/>
      <c r="EP117" s="1027"/>
      <c r="EQ117" s="1027"/>
      <c r="ER117" s="1027"/>
      <c r="ES117" s="1027"/>
      <c r="ET117" s="1028"/>
      <c r="EU117" s="1023" t="s">
        <v>362</v>
      </c>
      <c r="EV117" s="1027"/>
      <c r="EW117" s="1027"/>
      <c r="EX117" s="1027"/>
      <c r="EY117" s="1027"/>
      <c r="EZ117" s="1027"/>
      <c r="FA117" s="1027"/>
      <c r="FB117" s="1028"/>
    </row>
    <row r="118" spans="2:158">
      <c r="B118" s="755"/>
      <c r="C118" s="1032"/>
      <c r="D118" s="1033"/>
      <c r="E118" s="1033"/>
      <c r="F118" s="1033"/>
      <c r="G118" s="1033"/>
      <c r="H118" s="1033"/>
      <c r="I118" s="1033"/>
      <c r="J118" s="1033"/>
      <c r="K118" s="1033"/>
      <c r="L118" s="1033"/>
      <c r="M118" s="1033"/>
      <c r="O118" s="590" t="s">
        <v>21</v>
      </c>
      <c r="P118" s="1038" t="s">
        <v>363</v>
      </c>
      <c r="Q118" s="1027"/>
      <c r="R118" s="1027"/>
      <c r="S118" s="1027"/>
      <c r="T118" s="1027"/>
      <c r="U118" s="1027"/>
      <c r="V118" s="1027"/>
      <c r="W118" s="1028"/>
      <c r="X118" s="672">
        <v>-10</v>
      </c>
      <c r="Y118" s="630"/>
      <c r="Z118" s="1031" t="s">
        <v>364</v>
      </c>
      <c r="AA118" s="1027"/>
      <c r="AB118" s="1027"/>
      <c r="AC118" s="1027"/>
      <c r="AD118" s="1027"/>
      <c r="AE118" s="1027"/>
      <c r="AF118" s="1027"/>
      <c r="AG118" s="1028"/>
      <c r="AH118" s="673"/>
      <c r="AI118" s="673">
        <f>IF(AH118="Y",X118,IF(AH118="N",Y118,0))</f>
        <v>0</v>
      </c>
      <c r="AY118" s="668" t="s">
        <v>222</v>
      </c>
      <c r="AZ118" s="668" t="s">
        <v>223</v>
      </c>
      <c r="BA118" s="668">
        <f>X81</f>
        <v>20</v>
      </c>
      <c r="BB118" s="668" t="s">
        <v>138</v>
      </c>
      <c r="BC118" s="668"/>
      <c r="BD118" s="668" t="str">
        <f t="shared" si="3"/>
        <v/>
      </c>
      <c r="BE118" s="668" t="str">
        <f t="shared" si="4"/>
        <v>Recurrence Score:  20</v>
      </c>
      <c r="EE118" s="1031"/>
      <c r="EF118" s="1027"/>
      <c r="EG118" s="1027"/>
      <c r="EH118" s="1027"/>
      <c r="EI118" s="1027"/>
      <c r="EJ118" s="1027"/>
      <c r="EK118" s="1027"/>
      <c r="EL118" s="1028"/>
      <c r="EM118" s="1023" t="s">
        <v>173</v>
      </c>
      <c r="EN118" s="1027"/>
      <c r="EO118" s="1027"/>
      <c r="EP118" s="1027"/>
      <c r="EQ118" s="1027"/>
      <c r="ER118" s="1027"/>
      <c r="ES118" s="1027"/>
      <c r="ET118" s="1028"/>
      <c r="EU118" s="1023" t="s">
        <v>365</v>
      </c>
      <c r="EV118" s="1027"/>
      <c r="EW118" s="1027"/>
      <c r="EX118" s="1027"/>
      <c r="EY118" s="1027"/>
      <c r="EZ118" s="1027"/>
      <c r="FA118" s="1027"/>
      <c r="FB118" s="1028"/>
    </row>
    <row r="119" spans="2:158">
      <c r="B119" s="755"/>
      <c r="C119" s="1032"/>
      <c r="D119" s="1033"/>
      <c r="E119" s="1033"/>
      <c r="F119" s="1033"/>
      <c r="G119" s="1033"/>
      <c r="H119" s="1033"/>
      <c r="I119" s="1033"/>
      <c r="J119" s="1033"/>
      <c r="K119" s="1033"/>
      <c r="L119" s="1033"/>
      <c r="M119" s="1033"/>
      <c r="O119" s="590" t="s">
        <v>21</v>
      </c>
      <c r="P119" s="1034" t="s">
        <v>366</v>
      </c>
      <c r="Q119" s="1027"/>
      <c r="R119" s="1027"/>
      <c r="S119" s="1027"/>
      <c r="T119" s="1027"/>
      <c r="U119" s="1027"/>
      <c r="V119" s="1027"/>
      <c r="W119" s="1028"/>
      <c r="X119" s="630"/>
      <c r="Y119" s="672">
        <v>-10</v>
      </c>
      <c r="Z119" s="1031" t="s">
        <v>367</v>
      </c>
      <c r="AA119" s="1027"/>
      <c r="AB119" s="1027"/>
      <c r="AC119" s="1027"/>
      <c r="AD119" s="1027"/>
      <c r="AE119" s="1027"/>
      <c r="AF119" s="1027"/>
      <c r="AG119" s="1028"/>
      <c r="AH119" s="673"/>
      <c r="AI119" s="673">
        <f>IF(AH119="Y",X119,IF(AH119="N",Y119,0))</f>
        <v>0</v>
      </c>
      <c r="AY119" s="668" t="s">
        <v>228</v>
      </c>
      <c r="AZ119" s="668" t="s">
        <v>223</v>
      </c>
      <c r="BA119" s="668">
        <f>X82</f>
        <v>20</v>
      </c>
      <c r="BB119" s="668" t="s">
        <v>21</v>
      </c>
      <c r="BC119" s="668" t="str">
        <f>P82</f>
        <v>market share trend</v>
      </c>
      <c r="BD119" s="668" t="str">
        <f t="shared" si="3"/>
        <v>market share trend</v>
      </c>
      <c r="BE119" s="668" t="str">
        <f t="shared" si="4"/>
        <v>Issue:  market share trend (20 points)</v>
      </c>
      <c r="EE119" s="1031"/>
      <c r="EF119" s="1027"/>
      <c r="EG119" s="1027"/>
      <c r="EH119" s="1027"/>
      <c r="EI119" s="1027"/>
      <c r="EJ119" s="1027"/>
      <c r="EK119" s="1027"/>
      <c r="EL119" s="1028"/>
      <c r="EM119" s="1023" t="s">
        <v>176</v>
      </c>
      <c r="EN119" s="1027"/>
      <c r="EO119" s="1027"/>
      <c r="EP119" s="1027"/>
      <c r="EQ119" s="1027"/>
      <c r="ER119" s="1027"/>
      <c r="ES119" s="1027"/>
      <c r="ET119" s="1028"/>
      <c r="EU119" s="1023" t="s">
        <v>368</v>
      </c>
      <c r="EV119" s="1027"/>
      <c r="EW119" s="1027"/>
      <c r="EX119" s="1027"/>
      <c r="EY119" s="1027"/>
      <c r="EZ119" s="1027"/>
      <c r="FA119" s="1027"/>
      <c r="FB119" s="1028"/>
    </row>
    <row r="120" spans="2:158">
      <c r="B120" s="755"/>
      <c r="C120" s="1032"/>
      <c r="D120" s="1033"/>
      <c r="E120" s="1033"/>
      <c r="F120" s="1033"/>
      <c r="G120" s="1033"/>
      <c r="H120" s="1033"/>
      <c r="I120" s="1033"/>
      <c r="J120" s="1033"/>
      <c r="K120" s="1033"/>
      <c r="L120" s="1033"/>
      <c r="M120" s="1033"/>
      <c r="O120" s="1026" t="str">
        <f>Y44</f>
        <v>EXPLOITATION RISK</v>
      </c>
      <c r="P120" s="1027"/>
      <c r="Q120" s="1027"/>
      <c r="R120" s="1027"/>
      <c r="S120" s="1027"/>
      <c r="T120" s="1027"/>
      <c r="U120" s="1027"/>
      <c r="V120" s="1027"/>
      <c r="W120" s="1028"/>
      <c r="X120" s="670" t="s">
        <v>206</v>
      </c>
      <c r="Y120" s="670" t="s">
        <v>207</v>
      </c>
      <c r="Z120" s="1037" t="s">
        <v>208</v>
      </c>
      <c r="AA120" s="1027"/>
      <c r="AB120" s="1027"/>
      <c r="AC120" s="1027"/>
      <c r="AD120" s="1027"/>
      <c r="AE120" s="1027"/>
      <c r="AF120" s="1027"/>
      <c r="AG120" s="1028"/>
      <c r="AH120" s="670" t="s">
        <v>209</v>
      </c>
      <c r="AI120" s="670" t="s">
        <v>210</v>
      </c>
      <c r="AY120" s="668" t="s">
        <v>211</v>
      </c>
      <c r="AZ120" s="668" t="s">
        <v>26</v>
      </c>
      <c r="BA120" s="668">
        <f>AH82</f>
        <v>0</v>
      </c>
      <c r="BB120" s="668" t="s">
        <v>21</v>
      </c>
      <c r="BC120" s="668" t="str">
        <f>Z82</f>
        <v>Is the company's market share trajectory strong (i.e., stable or rising)?</v>
      </c>
      <c r="BD120" s="668" t="str">
        <f t="shared" si="3"/>
        <v>Is the company's market share trajectory strong (i.e., stable or rising)?</v>
      </c>
      <c r="BE120" s="668" t="str">
        <f t="shared" si="4"/>
        <v>Issue:  Is the company's market share trajectory strong (i.e., stable or rising)? (0 points)</v>
      </c>
      <c r="EE120" s="1037" t="s">
        <v>212</v>
      </c>
      <c r="EF120" s="1027"/>
      <c r="EG120" s="1027"/>
      <c r="EH120" s="1027"/>
      <c r="EI120" s="1027"/>
      <c r="EJ120" s="1027"/>
      <c r="EK120" s="1027"/>
      <c r="EL120" s="1028"/>
      <c r="EM120" s="1037" t="s">
        <v>213</v>
      </c>
      <c r="EN120" s="1027"/>
      <c r="EO120" s="1027"/>
      <c r="EP120" s="1027"/>
      <c r="EQ120" s="1027"/>
      <c r="ER120" s="1027"/>
      <c r="ES120" s="1027"/>
      <c r="ET120" s="1028"/>
      <c r="EU120" s="1037" t="s">
        <v>214</v>
      </c>
      <c r="EV120" s="1027"/>
      <c r="EW120" s="1027"/>
      <c r="EX120" s="1027"/>
      <c r="EY120" s="1027"/>
      <c r="EZ120" s="1027"/>
      <c r="FA120" s="1027"/>
      <c r="FB120" s="1028"/>
    </row>
    <row r="121" spans="2:158">
      <c r="C121" s="1020"/>
      <c r="O121" s="591" t="s">
        <v>21</v>
      </c>
      <c r="P121" s="1038" t="s">
        <v>369</v>
      </c>
      <c r="Q121" s="1027"/>
      <c r="R121" s="1027"/>
      <c r="S121" s="1027"/>
      <c r="T121" s="1027"/>
      <c r="U121" s="1027"/>
      <c r="V121" s="1027"/>
      <c r="W121" s="1028"/>
      <c r="X121" s="672">
        <v>-10</v>
      </c>
      <c r="Y121" s="630"/>
      <c r="Z121" s="1031" t="s">
        <v>370</v>
      </c>
      <c r="AA121" s="1027"/>
      <c r="AB121" s="1027"/>
      <c r="AC121" s="1027"/>
      <c r="AD121" s="1027"/>
      <c r="AE121" s="1027"/>
      <c r="AF121" s="1027"/>
      <c r="AG121" s="1028"/>
      <c r="AH121" s="673"/>
      <c r="AI121" s="673">
        <f>IF(AH121="Y",X121,IF(AH121="N",Y121,0))</f>
        <v>0</v>
      </c>
      <c r="AY121" s="668" t="s">
        <v>217</v>
      </c>
      <c r="AZ121" s="668" t="s">
        <v>217</v>
      </c>
      <c r="BA121" s="668" t="str">
        <f>AH84</f>
        <v>Y/N</v>
      </c>
      <c r="BB121" s="668" t="s">
        <v>130</v>
      </c>
      <c r="BC121" s="668"/>
      <c r="BD121" s="668" t="str">
        <f t="shared" si="3"/>
        <v/>
      </c>
      <c r="BE121" s="668" t="str">
        <f t="shared" si="4"/>
        <v>Consistency Score:  Y/N</v>
      </c>
      <c r="EE121" s="1031"/>
      <c r="EF121" s="1027"/>
      <c r="EG121" s="1027"/>
      <c r="EH121" s="1027"/>
      <c r="EI121" s="1027"/>
      <c r="EJ121" s="1027"/>
      <c r="EK121" s="1027"/>
      <c r="EL121" s="1028"/>
      <c r="EM121" s="1023" t="s">
        <v>171</v>
      </c>
      <c r="EN121" s="1027"/>
      <c r="EO121" s="1027"/>
      <c r="EP121" s="1027"/>
      <c r="EQ121" s="1027"/>
      <c r="ER121" s="1027"/>
      <c r="ES121" s="1027"/>
      <c r="ET121" s="1028"/>
      <c r="EU121" s="1023" t="s">
        <v>371</v>
      </c>
      <c r="EV121" s="1027"/>
      <c r="EW121" s="1027"/>
      <c r="EX121" s="1027"/>
      <c r="EY121" s="1027"/>
      <c r="EZ121" s="1027"/>
      <c r="FA121" s="1027"/>
      <c r="FB121" s="1028"/>
    </row>
    <row r="122" spans="2:158">
      <c r="B122" s="756"/>
      <c r="C122" s="756"/>
      <c r="D122" s="756"/>
      <c r="E122" s="755"/>
      <c r="F122" s="755"/>
      <c r="G122" s="755"/>
      <c r="H122" s="755"/>
      <c r="I122" s="755"/>
      <c r="J122" s="755"/>
      <c r="K122" s="755"/>
      <c r="L122" s="755"/>
      <c r="M122" s="755"/>
      <c r="O122" s="591" t="s">
        <v>21</v>
      </c>
      <c r="P122" s="1038" t="s">
        <v>372</v>
      </c>
      <c r="Q122" s="1027"/>
      <c r="R122" s="1027"/>
      <c r="S122" s="1027"/>
      <c r="T122" s="1027"/>
      <c r="U122" s="1027"/>
      <c r="V122" s="1027"/>
      <c r="W122" s="1028"/>
      <c r="X122" s="672">
        <v>-10</v>
      </c>
      <c r="Y122" s="630"/>
      <c r="Z122" s="1031" t="s">
        <v>373</v>
      </c>
      <c r="AA122" s="1027"/>
      <c r="AB122" s="1027"/>
      <c r="AC122" s="1027"/>
      <c r="AD122" s="1027"/>
      <c r="AE122" s="1027"/>
      <c r="AF122" s="1027"/>
      <c r="AG122" s="1028"/>
      <c r="AH122" s="673"/>
      <c r="AI122" s="673">
        <f>IF(AH122="Y",X122,IF(AH122="N",Y122,0))</f>
        <v>0</v>
      </c>
      <c r="AY122" s="668" t="s">
        <v>222</v>
      </c>
      <c r="AZ122" s="668" t="s">
        <v>223</v>
      </c>
      <c r="BA122" s="668">
        <f>X85</f>
        <v>20</v>
      </c>
      <c r="BB122" s="668" t="s">
        <v>138</v>
      </c>
      <c r="BC122" s="668"/>
      <c r="BD122" s="668" t="str">
        <f t="shared" si="3"/>
        <v/>
      </c>
      <c r="BE122" s="668" t="str">
        <f t="shared" si="4"/>
        <v>Recurrence Score:  20</v>
      </c>
      <c r="EE122" s="1031"/>
      <c r="EF122" s="1027"/>
      <c r="EG122" s="1027"/>
      <c r="EH122" s="1027"/>
      <c r="EI122" s="1027"/>
      <c r="EJ122" s="1027"/>
      <c r="EK122" s="1027"/>
      <c r="EL122" s="1028"/>
      <c r="EM122" s="1023" t="s">
        <v>374</v>
      </c>
      <c r="EN122" s="1027"/>
      <c r="EO122" s="1027"/>
      <c r="EP122" s="1027"/>
      <c r="EQ122" s="1027"/>
      <c r="ER122" s="1027"/>
      <c r="ES122" s="1027"/>
      <c r="ET122" s="1028"/>
      <c r="EU122" s="1023" t="s">
        <v>174</v>
      </c>
      <c r="EV122" s="1027"/>
      <c r="EW122" s="1027"/>
      <c r="EX122" s="1027"/>
      <c r="EY122" s="1027"/>
      <c r="EZ122" s="1027"/>
      <c r="FA122" s="1027"/>
      <c r="FB122" s="1028"/>
    </row>
    <row r="123" spans="2:158">
      <c r="B123" s="755"/>
      <c r="C123" s="755"/>
      <c r="D123" s="1032"/>
      <c r="E123" s="1032"/>
      <c r="F123" s="1032"/>
      <c r="G123" s="1032"/>
      <c r="H123" s="1032"/>
      <c r="I123" s="1032"/>
      <c r="J123" s="1032"/>
      <c r="K123" s="1032"/>
      <c r="L123" s="1032"/>
      <c r="M123" s="1032"/>
      <c r="O123" s="591" t="s">
        <v>21</v>
      </c>
      <c r="P123" s="1034" t="s">
        <v>375</v>
      </c>
      <c r="Q123" s="1027"/>
      <c r="R123" s="1027"/>
      <c r="S123" s="1027"/>
      <c r="T123" s="1027"/>
      <c r="U123" s="1027"/>
      <c r="V123" s="1027"/>
      <c r="W123" s="1028"/>
      <c r="X123" s="672">
        <v>-10</v>
      </c>
      <c r="Y123" s="630"/>
      <c r="Z123" s="1031" t="s">
        <v>376</v>
      </c>
      <c r="AA123" s="1027"/>
      <c r="AB123" s="1027"/>
      <c r="AC123" s="1027"/>
      <c r="AD123" s="1027"/>
      <c r="AE123" s="1027"/>
      <c r="AF123" s="1027"/>
      <c r="AG123" s="1028"/>
      <c r="AH123" s="673"/>
      <c r="AI123" s="673">
        <f>IF(AH123="Y",X123,IF(AH123="N",Y123,0))</f>
        <v>0</v>
      </c>
      <c r="AY123" s="668" t="s">
        <v>228</v>
      </c>
      <c r="AZ123" s="668" t="s">
        <v>223</v>
      </c>
      <c r="BA123" s="668">
        <f>X86</f>
        <v>10</v>
      </c>
      <c r="BB123" s="668" t="s">
        <v>21</v>
      </c>
      <c r="BC123" s="668" t="str">
        <f>P86</f>
        <v>company penetration</v>
      </c>
      <c r="BD123" s="668" t="str">
        <f t="shared" ref="BD123:BD139" si="7">IF(OR(BC123=0,BC123=""),"",BC123)</f>
        <v>company penetration</v>
      </c>
      <c r="BE123" s="668" t="str">
        <f t="shared" ref="BE123:BE139" si="8">IFERROR(IF(OR(BB123="Primary",BB123="Secondary",BB123="Tertiary"),AZ123&amp;" Score:  "&amp;BA123,IF(AND(BB123="Issue",BD123&lt;&gt;""),BB123&amp;":  "&amp;BD123&amp;" ("&amp;BA123&amp;IF(OR(BA123=1,BA123=-1)," point)"," points)"),"")),"")</f>
        <v>Issue:  company penetration (10 points)</v>
      </c>
      <c r="EE123" s="1031"/>
      <c r="EF123" s="1027"/>
      <c r="EG123" s="1027"/>
      <c r="EH123" s="1027"/>
      <c r="EI123" s="1027"/>
      <c r="EJ123" s="1027"/>
      <c r="EK123" s="1027"/>
      <c r="EL123" s="1028"/>
      <c r="EM123" s="1023" t="s">
        <v>377</v>
      </c>
      <c r="EN123" s="1027"/>
      <c r="EO123" s="1027"/>
      <c r="EP123" s="1027"/>
      <c r="EQ123" s="1027"/>
      <c r="ER123" s="1027"/>
      <c r="ES123" s="1027"/>
      <c r="ET123" s="1028"/>
      <c r="EU123" s="1023" t="s">
        <v>177</v>
      </c>
      <c r="EV123" s="1027"/>
      <c r="EW123" s="1027"/>
      <c r="EX123" s="1027"/>
      <c r="EY123" s="1027"/>
      <c r="EZ123" s="1027"/>
      <c r="FA123" s="1027"/>
      <c r="FB123" s="1028"/>
    </row>
    <row r="124" spans="2:158">
      <c r="B124" s="756"/>
      <c r="C124" s="756"/>
      <c r="D124" s="1032"/>
      <c r="E124" s="1033"/>
      <c r="F124" s="1033"/>
      <c r="G124" s="1033"/>
      <c r="H124" s="1033"/>
      <c r="I124" s="1033"/>
      <c r="J124" s="1033"/>
      <c r="K124" s="1033"/>
      <c r="L124" s="1033"/>
      <c r="M124" s="1033"/>
      <c r="O124" s="1026" t="str">
        <f>O49</f>
        <v>COUNTERPARTY CONCENTRATION</v>
      </c>
      <c r="P124" s="1027"/>
      <c r="Q124" s="1027"/>
      <c r="R124" s="1027"/>
      <c r="S124" s="1027"/>
      <c r="T124" s="1027"/>
      <c r="U124" s="1027"/>
      <c r="V124" s="1027"/>
      <c r="W124" s="1028"/>
      <c r="X124" s="670" t="s">
        <v>206</v>
      </c>
      <c r="Y124" s="670" t="s">
        <v>207</v>
      </c>
      <c r="Z124" s="1037" t="s">
        <v>208</v>
      </c>
      <c r="AA124" s="1027"/>
      <c r="AB124" s="1027"/>
      <c r="AC124" s="1027"/>
      <c r="AD124" s="1027"/>
      <c r="AE124" s="1027"/>
      <c r="AF124" s="1027"/>
      <c r="AG124" s="1028"/>
      <c r="AH124" s="670" t="s">
        <v>209</v>
      </c>
      <c r="AI124" s="670" t="s">
        <v>210</v>
      </c>
      <c r="AY124" s="668" t="s">
        <v>211</v>
      </c>
      <c r="AZ124" s="668" t="s">
        <v>26</v>
      </c>
      <c r="BA124" s="668">
        <f>AH86</f>
        <v>0</v>
      </c>
      <c r="BB124" s="668" t="s">
        <v>21</v>
      </c>
      <c r="BC124" s="668" t="str">
        <f>Z86</f>
        <v>Is the company's market share low (i.e., with a lot of scope to rise over time)?</v>
      </c>
      <c r="BD124" s="668" t="str">
        <f t="shared" si="7"/>
        <v>Is the company's market share low (i.e., with a lot of scope to rise over time)?</v>
      </c>
      <c r="BE124" s="668" t="str">
        <f t="shared" si="8"/>
        <v>Issue:  Is the company's market share low (i.e., with a lot of scope to rise over time)? (0 points)</v>
      </c>
      <c r="EE124" s="1037" t="s">
        <v>212</v>
      </c>
      <c r="EF124" s="1027"/>
      <c r="EG124" s="1027"/>
      <c r="EH124" s="1027"/>
      <c r="EI124" s="1027"/>
      <c r="EJ124" s="1027"/>
      <c r="EK124" s="1027"/>
      <c r="EL124" s="1028"/>
      <c r="EM124" s="1037" t="s">
        <v>213</v>
      </c>
      <c r="EN124" s="1027"/>
      <c r="EO124" s="1027"/>
      <c r="EP124" s="1027"/>
      <c r="EQ124" s="1027"/>
      <c r="ER124" s="1027"/>
      <c r="ES124" s="1027"/>
      <c r="ET124" s="1028"/>
      <c r="EU124" s="1037" t="s">
        <v>214</v>
      </c>
      <c r="EV124" s="1027"/>
      <c r="EW124" s="1027"/>
      <c r="EX124" s="1027"/>
      <c r="EY124" s="1027"/>
      <c r="EZ124" s="1027"/>
      <c r="FA124" s="1027"/>
      <c r="FB124" s="1028"/>
    </row>
    <row r="125" spans="2:158">
      <c r="B125" s="756"/>
      <c r="C125" s="756"/>
      <c r="D125" s="1032"/>
      <c r="E125" s="1032"/>
      <c r="F125" s="1032"/>
      <c r="G125" s="1032"/>
      <c r="H125" s="1032"/>
      <c r="I125" s="1032"/>
      <c r="J125" s="1032"/>
      <c r="K125" s="1032"/>
      <c r="L125" s="1032"/>
      <c r="M125" s="1032"/>
      <c r="O125" s="590" t="s">
        <v>21</v>
      </c>
      <c r="P125" s="1038" t="s">
        <v>378</v>
      </c>
      <c r="Q125" s="1027"/>
      <c r="R125" s="1027"/>
      <c r="S125" s="1027"/>
      <c r="T125" s="1027"/>
      <c r="U125" s="1027"/>
      <c r="V125" s="1027"/>
      <c r="W125" s="1028"/>
      <c r="X125" s="672">
        <v>-10</v>
      </c>
      <c r="Y125" s="630"/>
      <c r="Z125" s="1031" t="s">
        <v>379</v>
      </c>
      <c r="AA125" s="1027"/>
      <c r="AB125" s="1027"/>
      <c r="AC125" s="1027"/>
      <c r="AD125" s="1027"/>
      <c r="AE125" s="1027"/>
      <c r="AF125" s="1027"/>
      <c r="AG125" s="1028"/>
      <c r="AH125" s="673"/>
      <c r="AI125" s="673">
        <f>IF(AH125="Y",X125,IF(AH125="N",Y125,0))</f>
        <v>0</v>
      </c>
      <c r="AY125" s="668" t="s">
        <v>217</v>
      </c>
      <c r="AZ125" s="668" t="s">
        <v>217</v>
      </c>
      <c r="BA125" s="668" t="str">
        <f>AH88</f>
        <v>Y/N</v>
      </c>
      <c r="BB125" s="668" t="s">
        <v>130</v>
      </c>
      <c r="BC125" s="668"/>
      <c r="BD125" s="668" t="str">
        <f t="shared" si="7"/>
        <v/>
      </c>
      <c r="BE125" s="668" t="str">
        <f t="shared" si="8"/>
        <v>Consistency Score:  Y/N</v>
      </c>
      <c r="EE125" s="1031"/>
      <c r="EF125" s="1027"/>
      <c r="EG125" s="1027"/>
      <c r="EH125" s="1027"/>
      <c r="EI125" s="1027"/>
      <c r="EJ125" s="1027"/>
      <c r="EK125" s="1027"/>
      <c r="EL125" s="1028"/>
      <c r="EM125" s="1023" t="s">
        <v>184</v>
      </c>
      <c r="EN125" s="1027"/>
      <c r="EO125" s="1027"/>
      <c r="EP125" s="1027"/>
      <c r="EQ125" s="1027"/>
      <c r="ER125" s="1027"/>
      <c r="ES125" s="1027"/>
      <c r="ET125" s="1028"/>
      <c r="EU125" s="1023" t="s">
        <v>380</v>
      </c>
      <c r="EV125" s="1027"/>
      <c r="EW125" s="1027"/>
      <c r="EX125" s="1027"/>
      <c r="EY125" s="1027"/>
      <c r="EZ125" s="1027"/>
      <c r="FA125" s="1027"/>
      <c r="FB125" s="1028"/>
    </row>
    <row r="126" spans="2:158">
      <c r="O126" s="590" t="s">
        <v>21</v>
      </c>
      <c r="P126" s="1038" t="s">
        <v>381</v>
      </c>
      <c r="Q126" s="1027"/>
      <c r="R126" s="1027"/>
      <c r="S126" s="1027"/>
      <c r="T126" s="1027"/>
      <c r="U126" s="1027"/>
      <c r="V126" s="1027"/>
      <c r="W126" s="1028"/>
      <c r="X126" s="672">
        <v>-10</v>
      </c>
      <c r="Y126" s="630"/>
      <c r="Z126" s="1031" t="s">
        <v>382</v>
      </c>
      <c r="AA126" s="1027"/>
      <c r="AB126" s="1027"/>
      <c r="AC126" s="1027"/>
      <c r="AD126" s="1027"/>
      <c r="AE126" s="1027"/>
      <c r="AF126" s="1027"/>
      <c r="AG126" s="1028"/>
      <c r="AH126" s="673"/>
      <c r="AI126" s="673">
        <f>IF(AH126="Y",X126,IF(AH126="N",Y126,0))</f>
        <v>0</v>
      </c>
      <c r="AY126" s="668" t="s">
        <v>222</v>
      </c>
      <c r="AZ126" s="668" t="s">
        <v>223</v>
      </c>
      <c r="BA126" s="668">
        <f>X89</f>
        <v>10</v>
      </c>
      <c r="BB126" s="668" t="s">
        <v>138</v>
      </c>
      <c r="BC126" s="668"/>
      <c r="BD126" s="668" t="str">
        <f t="shared" si="7"/>
        <v/>
      </c>
      <c r="BE126" s="668" t="str">
        <f t="shared" si="8"/>
        <v>Recurrence Score:  10</v>
      </c>
      <c r="EE126" s="1031"/>
      <c r="EF126" s="1027"/>
      <c r="EG126" s="1027"/>
      <c r="EH126" s="1027"/>
      <c r="EI126" s="1027"/>
      <c r="EJ126" s="1027"/>
      <c r="EK126" s="1027"/>
      <c r="EL126" s="1028"/>
      <c r="EM126" s="1023" t="s">
        <v>187</v>
      </c>
      <c r="EN126" s="1027"/>
      <c r="EO126" s="1027"/>
      <c r="EP126" s="1027"/>
      <c r="EQ126" s="1027"/>
      <c r="ER126" s="1027"/>
      <c r="ES126" s="1027"/>
      <c r="ET126" s="1028"/>
      <c r="EU126" s="1023" t="s">
        <v>383</v>
      </c>
      <c r="EV126" s="1027"/>
      <c r="EW126" s="1027"/>
      <c r="EX126" s="1027"/>
      <c r="EY126" s="1027"/>
      <c r="EZ126" s="1027"/>
      <c r="FA126" s="1027"/>
      <c r="FB126" s="1028"/>
    </row>
    <row r="127" spans="2:158">
      <c r="B127" s="755"/>
      <c r="C127" s="755"/>
      <c r="D127" s="1032"/>
      <c r="E127" s="1032"/>
      <c r="F127" s="1032"/>
      <c r="G127" s="1032"/>
      <c r="H127" s="1032"/>
      <c r="I127" s="1032"/>
      <c r="J127" s="1032"/>
      <c r="K127" s="1032"/>
      <c r="L127" s="1032"/>
      <c r="M127" s="1032"/>
      <c r="O127" s="590" t="s">
        <v>21</v>
      </c>
      <c r="P127" s="1034" t="s">
        <v>384</v>
      </c>
      <c r="Q127" s="1027"/>
      <c r="R127" s="1027"/>
      <c r="S127" s="1027"/>
      <c r="T127" s="1027"/>
      <c r="U127" s="1027"/>
      <c r="V127" s="1027"/>
      <c r="W127" s="1028"/>
      <c r="X127" s="672">
        <v>-10</v>
      </c>
      <c r="Y127" s="630"/>
      <c r="Z127" s="1031" t="s">
        <v>385</v>
      </c>
      <c r="AA127" s="1027"/>
      <c r="AB127" s="1027"/>
      <c r="AC127" s="1027"/>
      <c r="AD127" s="1027"/>
      <c r="AE127" s="1027"/>
      <c r="AF127" s="1027"/>
      <c r="AG127" s="1028"/>
      <c r="AH127" s="673"/>
      <c r="AI127" s="673">
        <f>IF(AH127="Y",X127,IF(AH127="N",Y127,0))</f>
        <v>0</v>
      </c>
      <c r="AY127" s="668" t="s">
        <v>228</v>
      </c>
      <c r="AZ127" s="668" t="s">
        <v>223</v>
      </c>
      <c r="BA127" s="668">
        <f>X90</f>
        <v>10</v>
      </c>
      <c r="BB127" s="668" t="s">
        <v>21</v>
      </c>
      <c r="BC127" s="668" t="str">
        <f>P90</f>
        <v>support service/product</v>
      </c>
      <c r="BD127" s="668" t="str">
        <f t="shared" si="7"/>
        <v>support service/product</v>
      </c>
      <c r="BE127" s="668" t="str">
        <f t="shared" si="8"/>
        <v>Issue:  support service/product (10 points)</v>
      </c>
      <c r="EE127" s="1031"/>
      <c r="EF127" s="1027"/>
      <c r="EG127" s="1027"/>
      <c r="EH127" s="1027"/>
      <c r="EI127" s="1027"/>
      <c r="EJ127" s="1027"/>
      <c r="EK127" s="1027"/>
      <c r="EL127" s="1028"/>
      <c r="EM127" s="1023" t="s">
        <v>190</v>
      </c>
      <c r="EN127" s="1027"/>
      <c r="EO127" s="1027"/>
      <c r="EP127" s="1027"/>
      <c r="EQ127" s="1027"/>
      <c r="ER127" s="1027"/>
      <c r="ES127" s="1027"/>
      <c r="ET127" s="1028"/>
      <c r="EU127" s="1023" t="s">
        <v>386</v>
      </c>
      <c r="EV127" s="1027"/>
      <c r="EW127" s="1027"/>
      <c r="EX127" s="1027"/>
      <c r="EY127" s="1027"/>
      <c r="EZ127" s="1027"/>
      <c r="FA127" s="1027"/>
      <c r="FB127" s="1028"/>
    </row>
    <row r="128" spans="2:158">
      <c r="B128" s="756"/>
      <c r="C128" s="756"/>
      <c r="D128" s="1032"/>
      <c r="E128" s="1033"/>
      <c r="F128" s="1033"/>
      <c r="G128" s="1033"/>
      <c r="H128" s="1033"/>
      <c r="I128" s="1033"/>
      <c r="J128" s="1033"/>
      <c r="K128" s="1033"/>
      <c r="L128" s="1033"/>
      <c r="M128" s="1033"/>
      <c r="O128" s="1026" t="str">
        <f>Y49</f>
        <v>EXPOSURE CONCENTRATION</v>
      </c>
      <c r="P128" s="1027"/>
      <c r="Q128" s="1027"/>
      <c r="R128" s="1027"/>
      <c r="S128" s="1027"/>
      <c r="T128" s="1027"/>
      <c r="U128" s="1027"/>
      <c r="V128" s="1027"/>
      <c r="W128" s="1028"/>
      <c r="X128" s="670" t="s">
        <v>206</v>
      </c>
      <c r="Y128" s="670" t="s">
        <v>207</v>
      </c>
      <c r="Z128" s="1037" t="s">
        <v>208</v>
      </c>
      <c r="AA128" s="1027"/>
      <c r="AB128" s="1027"/>
      <c r="AC128" s="1027"/>
      <c r="AD128" s="1027"/>
      <c r="AE128" s="1027"/>
      <c r="AF128" s="1027"/>
      <c r="AG128" s="1028"/>
      <c r="AH128" s="670" t="s">
        <v>209</v>
      </c>
      <c r="AI128" s="670" t="s">
        <v>210</v>
      </c>
      <c r="AY128" s="668" t="s">
        <v>211</v>
      </c>
      <c r="AZ128" s="668" t="s">
        <v>26</v>
      </c>
      <c r="BA128" s="668">
        <f>AH90</f>
        <v>0</v>
      </c>
      <c r="BB128" s="668" t="s">
        <v>21</v>
      </c>
      <c r="BC128" s="668" t="str">
        <f>Z90</f>
        <v>Do the company's products (services) represent support products (services)?</v>
      </c>
      <c r="BD128" s="668" t="str">
        <f t="shared" si="7"/>
        <v>Do the company's products (services) represent support products (services)?</v>
      </c>
      <c r="BE128" s="668" t="str">
        <f t="shared" si="8"/>
        <v>Issue:  Do the company's products (services) represent support products (services)? (0 points)</v>
      </c>
      <c r="EE128" s="1037" t="s">
        <v>212</v>
      </c>
      <c r="EF128" s="1027"/>
      <c r="EG128" s="1027"/>
      <c r="EH128" s="1027"/>
      <c r="EI128" s="1027"/>
      <c r="EJ128" s="1027"/>
      <c r="EK128" s="1027"/>
      <c r="EL128" s="1028"/>
      <c r="EM128" s="1037" t="s">
        <v>213</v>
      </c>
      <c r="EN128" s="1027"/>
      <c r="EO128" s="1027"/>
      <c r="EP128" s="1027"/>
      <c r="EQ128" s="1027"/>
      <c r="ER128" s="1027"/>
      <c r="ES128" s="1027"/>
      <c r="ET128" s="1028"/>
      <c r="EU128" s="1037" t="s">
        <v>214</v>
      </c>
      <c r="EV128" s="1027"/>
      <c r="EW128" s="1027"/>
      <c r="EX128" s="1027"/>
      <c r="EY128" s="1027"/>
      <c r="EZ128" s="1027"/>
      <c r="FA128" s="1027"/>
      <c r="FB128" s="1028"/>
    </row>
    <row r="129" spans="2:158">
      <c r="B129" s="756"/>
      <c r="C129" s="756"/>
      <c r="D129" s="1032"/>
      <c r="E129" s="1032"/>
      <c r="F129" s="1032"/>
      <c r="G129" s="1032"/>
      <c r="H129" s="1032"/>
      <c r="I129" s="1032"/>
      <c r="J129" s="1032"/>
      <c r="K129" s="1032"/>
      <c r="L129" s="1032"/>
      <c r="M129" s="1032"/>
      <c r="O129" s="591" t="s">
        <v>21</v>
      </c>
      <c r="P129" s="1038" t="s">
        <v>387</v>
      </c>
      <c r="Q129" s="1027"/>
      <c r="R129" s="1027"/>
      <c r="S129" s="1027"/>
      <c r="T129" s="1027"/>
      <c r="U129" s="1027"/>
      <c r="V129" s="1027"/>
      <c r="W129" s="1028"/>
      <c r="X129" s="672">
        <v>-10</v>
      </c>
      <c r="Y129" s="630"/>
      <c r="Z129" s="1031" t="s">
        <v>388</v>
      </c>
      <c r="AA129" s="1027"/>
      <c r="AB129" s="1027"/>
      <c r="AC129" s="1027"/>
      <c r="AD129" s="1027"/>
      <c r="AE129" s="1027"/>
      <c r="AF129" s="1027"/>
      <c r="AG129" s="1028"/>
      <c r="AH129" s="673"/>
      <c r="AI129" s="673">
        <f>IF(AH129="Y",X129,IF(AH129="N",Y129,0))</f>
        <v>0</v>
      </c>
      <c r="AY129" s="668" t="s">
        <v>217</v>
      </c>
      <c r="AZ129" s="668" t="s">
        <v>217</v>
      </c>
      <c r="BA129" s="668" t="str">
        <f>AH92</f>
        <v>Y/N</v>
      </c>
      <c r="BB129" s="668" t="s">
        <v>130</v>
      </c>
      <c r="BC129" s="668"/>
      <c r="BD129" s="668" t="str">
        <f t="shared" si="7"/>
        <v/>
      </c>
      <c r="BE129" s="668" t="str">
        <f t="shared" si="8"/>
        <v>Consistency Score:  Y/N</v>
      </c>
      <c r="EE129" s="1031"/>
      <c r="EF129" s="1027"/>
      <c r="EG129" s="1027"/>
      <c r="EH129" s="1027"/>
      <c r="EI129" s="1027"/>
      <c r="EJ129" s="1027"/>
      <c r="EK129" s="1027"/>
      <c r="EL129" s="1028"/>
      <c r="EM129" s="1023" t="s">
        <v>185</v>
      </c>
      <c r="EN129" s="1027"/>
      <c r="EO129" s="1027"/>
      <c r="EP129" s="1027"/>
      <c r="EQ129" s="1027"/>
      <c r="ER129" s="1027"/>
      <c r="ES129" s="1027"/>
      <c r="ET129" s="1028"/>
      <c r="EU129" s="1023" t="s">
        <v>389</v>
      </c>
      <c r="EV129" s="1027"/>
      <c r="EW129" s="1027"/>
      <c r="EX129" s="1027"/>
      <c r="EY129" s="1027"/>
      <c r="EZ129" s="1027"/>
      <c r="FA129" s="1027"/>
      <c r="FB129" s="1028"/>
    </row>
    <row r="130" spans="2:158">
      <c r="O130" s="591" t="s">
        <v>21</v>
      </c>
      <c r="P130" s="1038" t="s">
        <v>390</v>
      </c>
      <c r="Q130" s="1027"/>
      <c r="R130" s="1027"/>
      <c r="S130" s="1027"/>
      <c r="T130" s="1027"/>
      <c r="U130" s="1027"/>
      <c r="V130" s="1027"/>
      <c r="W130" s="1028"/>
      <c r="X130" s="672">
        <v>-10</v>
      </c>
      <c r="Y130" s="630"/>
      <c r="Z130" s="1031" t="s">
        <v>391</v>
      </c>
      <c r="AA130" s="1027"/>
      <c r="AB130" s="1027"/>
      <c r="AC130" s="1027"/>
      <c r="AD130" s="1027"/>
      <c r="AE130" s="1027"/>
      <c r="AF130" s="1027"/>
      <c r="AG130" s="1028"/>
      <c r="AH130" s="673"/>
      <c r="AI130" s="673">
        <f>IF(AH130="Y",X130,IF(AH130="N",Y130,0))</f>
        <v>0</v>
      </c>
      <c r="AY130" s="668" t="s">
        <v>222</v>
      </c>
      <c r="AZ130" s="668" t="s">
        <v>223</v>
      </c>
      <c r="BA130" s="668">
        <f>X93</f>
        <v>10</v>
      </c>
      <c r="BB130" s="668" t="s">
        <v>138</v>
      </c>
      <c r="BC130" s="668"/>
      <c r="BD130" s="668" t="str">
        <f t="shared" si="7"/>
        <v/>
      </c>
      <c r="BE130" s="668" t="str">
        <f t="shared" si="8"/>
        <v>Recurrence Score:  10</v>
      </c>
      <c r="EE130" s="1031"/>
      <c r="EF130" s="1027"/>
      <c r="EG130" s="1027"/>
      <c r="EH130" s="1027"/>
      <c r="EI130" s="1027"/>
      <c r="EJ130" s="1027"/>
      <c r="EK130" s="1027"/>
      <c r="EL130" s="1028"/>
      <c r="EM130" s="1023" t="s">
        <v>188</v>
      </c>
      <c r="EN130" s="1027"/>
      <c r="EO130" s="1027"/>
      <c r="EP130" s="1027"/>
      <c r="EQ130" s="1027"/>
      <c r="ER130" s="1027"/>
      <c r="ES130" s="1027"/>
      <c r="ET130" s="1028"/>
      <c r="EU130" s="1023" t="s">
        <v>392</v>
      </c>
      <c r="EV130" s="1027"/>
      <c r="EW130" s="1027"/>
      <c r="EX130" s="1027"/>
      <c r="EY130" s="1027"/>
      <c r="EZ130" s="1027"/>
      <c r="FA130" s="1027"/>
      <c r="FB130" s="1028"/>
    </row>
    <row r="131" spans="2:158">
      <c r="B131" s="755"/>
      <c r="C131" s="755"/>
      <c r="D131" s="1032"/>
      <c r="E131" s="1032"/>
      <c r="F131" s="1032"/>
      <c r="G131" s="1032"/>
      <c r="H131" s="1032"/>
      <c r="I131" s="1032"/>
      <c r="J131" s="1032"/>
      <c r="K131" s="1032"/>
      <c r="L131" s="1032"/>
      <c r="M131" s="1032"/>
      <c r="O131" s="591" t="s">
        <v>21</v>
      </c>
      <c r="P131" s="1034" t="s">
        <v>393</v>
      </c>
      <c r="Q131" s="1027"/>
      <c r="R131" s="1027"/>
      <c r="S131" s="1027"/>
      <c r="T131" s="1027"/>
      <c r="U131" s="1027"/>
      <c r="V131" s="1027"/>
      <c r="W131" s="1028"/>
      <c r="X131" s="672">
        <v>-10</v>
      </c>
      <c r="Y131" s="630"/>
      <c r="Z131" s="1031" t="s">
        <v>394</v>
      </c>
      <c r="AA131" s="1027"/>
      <c r="AB131" s="1027"/>
      <c r="AC131" s="1027"/>
      <c r="AD131" s="1027"/>
      <c r="AE131" s="1027"/>
      <c r="AF131" s="1027"/>
      <c r="AG131" s="1028"/>
      <c r="AH131" s="673"/>
      <c r="AI131" s="673">
        <f>IF(AH131="Y",X131,IF(AH131="N",Y131,0))</f>
        <v>0</v>
      </c>
      <c r="AY131" s="668" t="s">
        <v>228</v>
      </c>
      <c r="AZ131" s="668" t="s">
        <v>223</v>
      </c>
      <c r="BA131" s="668">
        <f>X94</f>
        <v>10</v>
      </c>
      <c r="BB131" s="668" t="s">
        <v>21</v>
      </c>
      <c r="BC131" s="668" t="str">
        <f>P94</f>
        <v>revenue visibility</v>
      </c>
      <c r="BD131" s="668" t="str">
        <f t="shared" si="7"/>
        <v>revenue visibility</v>
      </c>
      <c r="BE131" s="668" t="str">
        <f t="shared" si="8"/>
        <v>Issue:  revenue visibility (10 points)</v>
      </c>
      <c r="EE131" s="1031"/>
      <c r="EF131" s="1027"/>
      <c r="EG131" s="1027"/>
      <c r="EH131" s="1027"/>
      <c r="EI131" s="1027"/>
      <c r="EJ131" s="1027"/>
      <c r="EK131" s="1027"/>
      <c r="EL131" s="1028"/>
      <c r="EM131" s="1023" t="s">
        <v>395</v>
      </c>
      <c r="EN131" s="1027"/>
      <c r="EO131" s="1027"/>
      <c r="EP131" s="1027"/>
      <c r="EQ131" s="1027"/>
      <c r="ER131" s="1027"/>
      <c r="ES131" s="1027"/>
      <c r="ET131" s="1028"/>
      <c r="EU131" s="1023" t="s">
        <v>191</v>
      </c>
      <c r="EV131" s="1027"/>
      <c r="EW131" s="1027"/>
      <c r="EX131" s="1027"/>
      <c r="EY131" s="1027"/>
      <c r="EZ131" s="1027"/>
      <c r="FA131" s="1027"/>
      <c r="FB131" s="1028"/>
    </row>
    <row r="132" spans="2:158">
      <c r="B132" s="756"/>
      <c r="C132" s="756"/>
      <c r="D132" s="1032"/>
      <c r="E132" s="1033"/>
      <c r="F132" s="1033"/>
      <c r="G132" s="1033"/>
      <c r="H132" s="1033"/>
      <c r="I132" s="1033"/>
      <c r="J132" s="1033"/>
      <c r="K132" s="1033"/>
      <c r="L132" s="1033"/>
      <c r="M132" s="1033"/>
      <c r="O132" s="1026" t="str">
        <f>O54</f>
        <v>TECHNOLOGY RISK</v>
      </c>
      <c r="P132" s="1027"/>
      <c r="Q132" s="1027"/>
      <c r="R132" s="1027"/>
      <c r="S132" s="1027"/>
      <c r="T132" s="1027"/>
      <c r="U132" s="1027"/>
      <c r="V132" s="1027"/>
      <c r="W132" s="1028"/>
      <c r="X132" s="670" t="s">
        <v>206</v>
      </c>
      <c r="Y132" s="670" t="s">
        <v>207</v>
      </c>
      <c r="Z132" s="1037" t="s">
        <v>208</v>
      </c>
      <c r="AA132" s="1027"/>
      <c r="AB132" s="1027"/>
      <c r="AC132" s="1027"/>
      <c r="AD132" s="1027"/>
      <c r="AE132" s="1027"/>
      <c r="AF132" s="1027"/>
      <c r="AG132" s="1028"/>
      <c r="AH132" s="670" t="s">
        <v>209</v>
      </c>
      <c r="AI132" s="670" t="s">
        <v>210</v>
      </c>
      <c r="AY132" s="668" t="s">
        <v>211</v>
      </c>
      <c r="AZ132" s="668" t="s">
        <v>26</v>
      </c>
      <c r="BA132" s="668">
        <f>AH94</f>
        <v>0</v>
      </c>
      <c r="BB132" s="668" t="s">
        <v>21</v>
      </c>
      <c r="BC132" s="668" t="str">
        <f>Z94</f>
        <v>Is the company's revenue visibility strong?</v>
      </c>
      <c r="BD132" s="668" t="str">
        <f t="shared" si="7"/>
        <v>Is the company's revenue visibility strong?</v>
      </c>
      <c r="BE132" s="668" t="str">
        <f t="shared" si="8"/>
        <v>Issue:  Is the company's revenue visibility strong? (0 points)</v>
      </c>
      <c r="EE132" s="1037" t="s">
        <v>212</v>
      </c>
      <c r="EF132" s="1027"/>
      <c r="EG132" s="1027"/>
      <c r="EH132" s="1027"/>
      <c r="EI132" s="1027"/>
      <c r="EJ132" s="1027"/>
      <c r="EK132" s="1027"/>
      <c r="EL132" s="1028"/>
      <c r="EM132" s="1037" t="s">
        <v>213</v>
      </c>
      <c r="EN132" s="1027"/>
      <c r="EO132" s="1027"/>
      <c r="EP132" s="1027"/>
      <c r="EQ132" s="1027"/>
      <c r="ER132" s="1027"/>
      <c r="ES132" s="1027"/>
      <c r="ET132" s="1028"/>
      <c r="EU132" s="1037" t="s">
        <v>214</v>
      </c>
      <c r="EV132" s="1027"/>
      <c r="EW132" s="1027"/>
      <c r="EX132" s="1027"/>
      <c r="EY132" s="1027"/>
      <c r="EZ132" s="1027"/>
      <c r="FA132" s="1027"/>
      <c r="FB132" s="1028"/>
    </row>
    <row r="133" spans="2:158">
      <c r="B133" s="756"/>
      <c r="C133" s="756"/>
      <c r="D133" s="1032"/>
      <c r="E133" s="1032"/>
      <c r="F133" s="1032"/>
      <c r="G133" s="1032"/>
      <c r="H133" s="1032"/>
      <c r="I133" s="1032"/>
      <c r="J133" s="1032"/>
      <c r="K133" s="1032"/>
      <c r="L133" s="1032"/>
      <c r="M133" s="1032"/>
      <c r="O133" s="590" t="s">
        <v>21</v>
      </c>
      <c r="P133" s="1038" t="s">
        <v>396</v>
      </c>
      <c r="Q133" s="1027"/>
      <c r="R133" s="1027"/>
      <c r="S133" s="1027"/>
      <c r="T133" s="1027"/>
      <c r="U133" s="1027"/>
      <c r="V133" s="1027"/>
      <c r="W133" s="1028"/>
      <c r="X133" s="672">
        <v>-10</v>
      </c>
      <c r="Y133" s="630"/>
      <c r="Z133" s="1031" t="s">
        <v>397</v>
      </c>
      <c r="AA133" s="1027"/>
      <c r="AB133" s="1027"/>
      <c r="AC133" s="1027"/>
      <c r="AD133" s="1027"/>
      <c r="AE133" s="1027"/>
      <c r="AF133" s="1027"/>
      <c r="AG133" s="1028"/>
      <c r="AH133" s="673"/>
      <c r="AI133" s="673">
        <f>IF(AH133="Y",X133,IF(AH133="N",Y133,0))</f>
        <v>0</v>
      </c>
      <c r="AY133" s="668" t="s">
        <v>217</v>
      </c>
      <c r="AZ133" s="668" t="s">
        <v>217</v>
      </c>
      <c r="BA133" s="668" t="str">
        <f>AH96</f>
        <v>Y/N</v>
      </c>
      <c r="BB133" s="668" t="s">
        <v>130</v>
      </c>
      <c r="BC133" s="668"/>
      <c r="BD133" s="668" t="str">
        <f t="shared" si="7"/>
        <v/>
      </c>
      <c r="BE133" s="668" t="str">
        <f t="shared" si="8"/>
        <v>Consistency Score:  Y/N</v>
      </c>
      <c r="EE133" s="1031"/>
      <c r="EF133" s="1027"/>
      <c r="EG133" s="1027"/>
      <c r="EH133" s="1027"/>
      <c r="EI133" s="1027"/>
      <c r="EJ133" s="1027"/>
      <c r="EK133" s="1027"/>
      <c r="EL133" s="1028"/>
      <c r="EM133" s="1023" t="s">
        <v>197</v>
      </c>
      <c r="EN133" s="1027"/>
      <c r="EO133" s="1027"/>
      <c r="EP133" s="1027"/>
      <c r="EQ133" s="1027"/>
      <c r="ER133" s="1027"/>
      <c r="ES133" s="1027"/>
      <c r="ET133" s="1028"/>
      <c r="EU133" s="1023" t="s">
        <v>398</v>
      </c>
      <c r="EV133" s="1027"/>
      <c r="EW133" s="1027"/>
      <c r="EX133" s="1027"/>
      <c r="EY133" s="1027"/>
      <c r="EZ133" s="1027"/>
      <c r="FA133" s="1027"/>
      <c r="FB133" s="1028"/>
    </row>
    <row r="134" spans="2:158">
      <c r="O134" s="590" t="s">
        <v>21</v>
      </c>
      <c r="P134" s="1038" t="s">
        <v>399</v>
      </c>
      <c r="Q134" s="1027"/>
      <c r="R134" s="1027"/>
      <c r="S134" s="1027"/>
      <c r="T134" s="1027"/>
      <c r="U134" s="1027"/>
      <c r="V134" s="1027"/>
      <c r="W134" s="1028"/>
      <c r="X134" s="672">
        <v>-10</v>
      </c>
      <c r="Y134" s="630"/>
      <c r="Z134" s="1031" t="s">
        <v>400</v>
      </c>
      <c r="AA134" s="1027"/>
      <c r="AB134" s="1027"/>
      <c r="AC134" s="1027"/>
      <c r="AD134" s="1027"/>
      <c r="AE134" s="1027"/>
      <c r="AF134" s="1027"/>
      <c r="AG134" s="1028"/>
      <c r="AH134" s="673"/>
      <c r="AI134" s="673">
        <f>IF(AH134="Y",X134,IF(AH134="N",Y134,0))</f>
        <v>0</v>
      </c>
      <c r="AY134" s="668" t="s">
        <v>222</v>
      </c>
      <c r="AZ134" s="668" t="s">
        <v>223</v>
      </c>
      <c r="BA134" s="668">
        <f>X97</f>
        <v>10</v>
      </c>
      <c r="BB134" s="668" t="s">
        <v>138</v>
      </c>
      <c r="BC134" s="668"/>
      <c r="BD134" s="668" t="str">
        <f t="shared" si="7"/>
        <v/>
      </c>
      <c r="BE134" s="668" t="str">
        <f t="shared" si="8"/>
        <v>Recurrence Score:  10</v>
      </c>
      <c r="EE134" s="1031"/>
      <c r="EF134" s="1027"/>
      <c r="EG134" s="1027"/>
      <c r="EH134" s="1027"/>
      <c r="EI134" s="1027"/>
      <c r="EJ134" s="1027"/>
      <c r="EK134" s="1027"/>
      <c r="EL134" s="1028"/>
      <c r="EM134" s="1023" t="s">
        <v>401</v>
      </c>
      <c r="EN134" s="1027"/>
      <c r="EO134" s="1027"/>
      <c r="EP134" s="1027"/>
      <c r="EQ134" s="1027"/>
      <c r="ER134" s="1027"/>
      <c r="ES134" s="1027"/>
      <c r="ET134" s="1028"/>
      <c r="EU134" s="1023" t="s">
        <v>200</v>
      </c>
      <c r="EV134" s="1027"/>
      <c r="EW134" s="1027"/>
      <c r="EX134" s="1027"/>
      <c r="EY134" s="1027"/>
      <c r="EZ134" s="1027"/>
      <c r="FA134" s="1027"/>
      <c r="FB134" s="1028"/>
    </row>
    <row r="135" spans="2:158">
      <c r="B135" s="755"/>
      <c r="C135" s="755"/>
      <c r="D135" s="1032"/>
      <c r="E135" s="1032"/>
      <c r="F135" s="1032"/>
      <c r="G135" s="1032"/>
      <c r="H135" s="1032"/>
      <c r="I135" s="1032"/>
      <c r="J135" s="1032"/>
      <c r="K135" s="1032"/>
      <c r="L135" s="1032"/>
      <c r="M135" s="1032"/>
      <c r="O135" s="590" t="s">
        <v>21</v>
      </c>
      <c r="P135" s="1034" t="s">
        <v>402</v>
      </c>
      <c r="Q135" s="1027"/>
      <c r="R135" s="1027"/>
      <c r="S135" s="1027"/>
      <c r="T135" s="1027"/>
      <c r="U135" s="1027"/>
      <c r="V135" s="1027"/>
      <c r="W135" s="1028"/>
      <c r="X135" s="672">
        <v>-10</v>
      </c>
      <c r="Y135" s="630"/>
      <c r="Z135" s="1031" t="s">
        <v>403</v>
      </c>
      <c r="AA135" s="1027"/>
      <c r="AB135" s="1027"/>
      <c r="AC135" s="1027"/>
      <c r="AD135" s="1027"/>
      <c r="AE135" s="1027"/>
      <c r="AF135" s="1027"/>
      <c r="AG135" s="1028"/>
      <c r="AH135" s="673"/>
      <c r="AI135" s="673">
        <f>IF(AH135="Y",X135,IF(AH135="N",Y135,0))</f>
        <v>0</v>
      </c>
      <c r="AY135" s="668" t="s">
        <v>228</v>
      </c>
      <c r="AZ135" s="668" t="s">
        <v>223</v>
      </c>
      <c r="BA135" s="668">
        <f>X98</f>
        <v>10</v>
      </c>
      <c r="BB135" s="668" t="s">
        <v>21</v>
      </c>
      <c r="BC135" s="668" t="str">
        <f>P98</f>
        <v>customer credit</v>
      </c>
      <c r="BD135" s="668" t="str">
        <f t="shared" si="7"/>
        <v>customer credit</v>
      </c>
      <c r="BE135" s="668" t="str">
        <f t="shared" si="8"/>
        <v>Issue:  customer credit (10 points)</v>
      </c>
      <c r="EE135" s="1031"/>
      <c r="EF135" s="1027"/>
      <c r="EG135" s="1027"/>
      <c r="EH135" s="1027"/>
      <c r="EI135" s="1027"/>
      <c r="EJ135" s="1027"/>
      <c r="EK135" s="1027"/>
      <c r="EL135" s="1028"/>
      <c r="EM135" s="1023" t="s">
        <v>404</v>
      </c>
      <c r="EN135" s="1027"/>
      <c r="EO135" s="1027"/>
      <c r="EP135" s="1027"/>
      <c r="EQ135" s="1027"/>
      <c r="ER135" s="1027"/>
      <c r="ES135" s="1027"/>
      <c r="ET135" s="1028"/>
      <c r="EU135" s="1023" t="s">
        <v>203</v>
      </c>
      <c r="EV135" s="1027"/>
      <c r="EW135" s="1027"/>
      <c r="EX135" s="1027"/>
      <c r="EY135" s="1027"/>
      <c r="EZ135" s="1027"/>
      <c r="FA135" s="1027"/>
      <c r="FB135" s="1028"/>
    </row>
    <row r="136" spans="2:158">
      <c r="B136" s="756"/>
      <c r="C136" s="756"/>
      <c r="D136" s="1032"/>
      <c r="E136" s="1033"/>
      <c r="F136" s="1033"/>
      <c r="G136" s="1033"/>
      <c r="H136" s="1033"/>
      <c r="I136" s="1033"/>
      <c r="J136" s="1033"/>
      <c r="K136" s="1033"/>
      <c r="L136" s="1033"/>
      <c r="M136" s="1033"/>
      <c r="O136" s="1026" t="str">
        <f>Y54</f>
        <v>GOVERNMENT RISK</v>
      </c>
      <c r="P136" s="1027"/>
      <c r="Q136" s="1027"/>
      <c r="R136" s="1027"/>
      <c r="S136" s="1027"/>
      <c r="T136" s="1027"/>
      <c r="U136" s="1027"/>
      <c r="V136" s="1027"/>
      <c r="W136" s="1028"/>
      <c r="X136" s="670" t="s">
        <v>206</v>
      </c>
      <c r="Y136" s="670" t="s">
        <v>207</v>
      </c>
      <c r="Z136" s="1037" t="s">
        <v>208</v>
      </c>
      <c r="AA136" s="1027"/>
      <c r="AB136" s="1027"/>
      <c r="AC136" s="1027"/>
      <c r="AD136" s="1027"/>
      <c r="AE136" s="1027"/>
      <c r="AF136" s="1027"/>
      <c r="AG136" s="1028"/>
      <c r="AH136" s="670" t="s">
        <v>209</v>
      </c>
      <c r="AI136" s="670" t="s">
        <v>210</v>
      </c>
      <c r="AY136" s="668" t="s">
        <v>211</v>
      </c>
      <c r="AZ136" s="668" t="s">
        <v>26</v>
      </c>
      <c r="BA136" s="668">
        <f>AH98</f>
        <v>0</v>
      </c>
      <c r="BB136" s="668" t="s">
        <v>21</v>
      </c>
      <c r="BC136" s="668" t="str">
        <f>Z98</f>
        <v>Are the company's customers relatively cycle-resilient (versus cycle-sensitive)?</v>
      </c>
      <c r="BD136" s="668" t="str">
        <f t="shared" si="7"/>
        <v>Are the company's customers relatively cycle-resilient (versus cycle-sensitive)?</v>
      </c>
      <c r="BE136" s="668" t="str">
        <f t="shared" si="8"/>
        <v>Issue:  Are the company's customers relatively cycle-resilient (versus cycle-sensitive)? (0 points)</v>
      </c>
      <c r="EE136" s="1037" t="s">
        <v>212</v>
      </c>
      <c r="EF136" s="1027"/>
      <c r="EG136" s="1027"/>
      <c r="EH136" s="1027"/>
      <c r="EI136" s="1027"/>
      <c r="EJ136" s="1027"/>
      <c r="EK136" s="1027"/>
      <c r="EL136" s="1028"/>
      <c r="EM136" s="1037" t="s">
        <v>213</v>
      </c>
      <c r="EN136" s="1027"/>
      <c r="EO136" s="1027"/>
      <c r="EP136" s="1027"/>
      <c r="EQ136" s="1027"/>
      <c r="ER136" s="1027"/>
      <c r="ES136" s="1027"/>
      <c r="ET136" s="1028"/>
      <c r="EU136" s="1037" t="s">
        <v>214</v>
      </c>
      <c r="EV136" s="1027"/>
      <c r="EW136" s="1027"/>
      <c r="EX136" s="1027"/>
      <c r="EY136" s="1027"/>
      <c r="EZ136" s="1027"/>
      <c r="FA136" s="1027"/>
      <c r="FB136" s="1028"/>
    </row>
    <row r="137" spans="2:158">
      <c r="B137" s="756"/>
      <c r="C137" s="756"/>
      <c r="D137" s="1032"/>
      <c r="E137" s="1032"/>
      <c r="F137" s="1032"/>
      <c r="G137" s="1032"/>
      <c r="H137" s="1032"/>
      <c r="I137" s="1032"/>
      <c r="J137" s="1032"/>
      <c r="K137" s="1032"/>
      <c r="L137" s="1032"/>
      <c r="M137" s="1032"/>
      <c r="O137" s="591" t="s">
        <v>21</v>
      </c>
      <c r="P137" s="1038" t="s">
        <v>405</v>
      </c>
      <c r="Q137" s="1027"/>
      <c r="R137" s="1027"/>
      <c r="S137" s="1027"/>
      <c r="T137" s="1027"/>
      <c r="U137" s="1027"/>
      <c r="V137" s="1027"/>
      <c r="W137" s="1028"/>
      <c r="X137" s="672">
        <v>-10</v>
      </c>
      <c r="Y137" s="630"/>
      <c r="Z137" s="1031" t="s">
        <v>406</v>
      </c>
      <c r="AA137" s="1027"/>
      <c r="AB137" s="1027"/>
      <c r="AC137" s="1027"/>
      <c r="AD137" s="1027"/>
      <c r="AE137" s="1027"/>
      <c r="AF137" s="1027"/>
      <c r="AG137" s="1028"/>
      <c r="AH137" s="673"/>
      <c r="AI137" s="673">
        <f>IF(AH137="Y",X137,IF(AH137="N",Y137,0))</f>
        <v>0</v>
      </c>
      <c r="AY137" s="668" t="s">
        <v>217</v>
      </c>
      <c r="AZ137" s="668" t="s">
        <v>217</v>
      </c>
      <c r="BA137" s="668" t="str">
        <f>AH100</f>
        <v>Y/N</v>
      </c>
      <c r="BB137" s="668" t="s">
        <v>130</v>
      </c>
      <c r="BC137" s="668"/>
      <c r="BD137" s="668" t="str">
        <f t="shared" si="7"/>
        <v/>
      </c>
      <c r="BE137" s="668" t="str">
        <f t="shared" si="8"/>
        <v>Consistency Score:  Y/N</v>
      </c>
      <c r="EE137" s="1031"/>
      <c r="EF137" s="1027"/>
      <c r="EG137" s="1027"/>
      <c r="EH137" s="1027"/>
      <c r="EI137" s="1027"/>
      <c r="EJ137" s="1027"/>
      <c r="EK137" s="1027"/>
      <c r="EL137" s="1028"/>
      <c r="EM137" s="1023" t="s">
        <v>407</v>
      </c>
      <c r="EN137" s="1027"/>
      <c r="EO137" s="1027"/>
      <c r="EP137" s="1027"/>
      <c r="EQ137" s="1027"/>
      <c r="ER137" s="1027"/>
      <c r="ES137" s="1027"/>
      <c r="ET137" s="1028"/>
      <c r="EU137" s="1023" t="s">
        <v>198</v>
      </c>
      <c r="EV137" s="1027"/>
      <c r="EW137" s="1027"/>
      <c r="EX137" s="1027"/>
      <c r="EY137" s="1027"/>
      <c r="EZ137" s="1027"/>
      <c r="FA137" s="1027"/>
      <c r="FB137" s="1028"/>
    </row>
    <row r="138" spans="2:158">
      <c r="O138" s="591" t="s">
        <v>21</v>
      </c>
      <c r="P138" s="1038" t="s">
        <v>408</v>
      </c>
      <c r="Q138" s="1027"/>
      <c r="R138" s="1027"/>
      <c r="S138" s="1027"/>
      <c r="T138" s="1027"/>
      <c r="U138" s="1027"/>
      <c r="V138" s="1027"/>
      <c r="W138" s="1028"/>
      <c r="X138" s="672">
        <v>-10</v>
      </c>
      <c r="Y138" s="630"/>
      <c r="Z138" s="1031" t="s">
        <v>409</v>
      </c>
      <c r="AA138" s="1027"/>
      <c r="AB138" s="1027"/>
      <c r="AC138" s="1027"/>
      <c r="AD138" s="1027"/>
      <c r="AE138" s="1027"/>
      <c r="AF138" s="1027"/>
      <c r="AG138" s="1028"/>
      <c r="AH138" s="673"/>
      <c r="AI138" s="673">
        <f>IF(AH138="Y",X138,IF(AH138="N",Y138,0))</f>
        <v>0</v>
      </c>
      <c r="AY138" s="668" t="s">
        <v>222</v>
      </c>
      <c r="AZ138" s="668" t="s">
        <v>223</v>
      </c>
      <c r="BA138" s="668">
        <f>X101</f>
        <v>-10</v>
      </c>
      <c r="BB138" s="668" t="s">
        <v>138</v>
      </c>
      <c r="BC138" s="668"/>
      <c r="BD138" s="668" t="str">
        <f t="shared" si="7"/>
        <v/>
      </c>
      <c r="BE138" s="668" t="str">
        <f t="shared" si="8"/>
        <v>Recurrence Score:  -10</v>
      </c>
      <c r="EE138" s="1031"/>
      <c r="EF138" s="1027"/>
      <c r="EG138" s="1027"/>
      <c r="EH138" s="1027"/>
      <c r="EI138" s="1027"/>
      <c r="EJ138" s="1027"/>
      <c r="EK138" s="1027"/>
      <c r="EL138" s="1028"/>
      <c r="EM138" s="1023" t="s">
        <v>201</v>
      </c>
      <c r="EN138" s="1027"/>
      <c r="EO138" s="1027"/>
      <c r="EP138" s="1027"/>
      <c r="EQ138" s="1027"/>
      <c r="ER138" s="1027"/>
      <c r="ES138" s="1027"/>
      <c r="ET138" s="1028"/>
      <c r="EU138" s="1023" t="s">
        <v>410</v>
      </c>
      <c r="EV138" s="1027"/>
      <c r="EW138" s="1027"/>
      <c r="EX138" s="1027"/>
      <c r="EY138" s="1027"/>
      <c r="EZ138" s="1027"/>
      <c r="FA138" s="1027"/>
      <c r="FB138" s="1028"/>
    </row>
    <row r="139" spans="2:158">
      <c r="B139" s="755"/>
      <c r="C139" s="755"/>
      <c r="D139" s="1032"/>
      <c r="E139" s="1032"/>
      <c r="F139" s="1032"/>
      <c r="G139" s="1032"/>
      <c r="H139" s="1032"/>
      <c r="I139" s="1032"/>
      <c r="J139" s="1032"/>
      <c r="K139" s="1032"/>
      <c r="L139" s="1032"/>
      <c r="M139" s="1032"/>
      <c r="O139" s="591" t="s">
        <v>21</v>
      </c>
      <c r="P139" s="1044" t="s">
        <v>411</v>
      </c>
      <c r="Q139" s="1027"/>
      <c r="R139" s="1027"/>
      <c r="S139" s="1027"/>
      <c r="T139" s="1027"/>
      <c r="U139" s="1027"/>
      <c r="V139" s="1027"/>
      <c r="W139" s="1028"/>
      <c r="X139" s="672">
        <v>-10</v>
      </c>
      <c r="Y139" s="630"/>
      <c r="Z139" s="1031" t="s">
        <v>412</v>
      </c>
      <c r="AA139" s="1027"/>
      <c r="AB139" s="1027"/>
      <c r="AC139" s="1027"/>
      <c r="AD139" s="1027"/>
      <c r="AE139" s="1027"/>
      <c r="AF139" s="1027"/>
      <c r="AG139" s="1028"/>
      <c r="AH139" s="673" t="str">
        <f>'quantitative answers'!K28</f>
        <v>N</v>
      </c>
      <c r="AI139" s="673">
        <f>IF(AH139="Y",X139,IF(AH139="N",Y139,0))</f>
        <v>0</v>
      </c>
      <c r="AY139" s="668" t="s">
        <v>228</v>
      </c>
      <c r="AZ139" s="668" t="s">
        <v>223</v>
      </c>
      <c r="BA139" s="668">
        <f>X102</f>
        <v>-10</v>
      </c>
      <c r="BB139" s="668" t="s">
        <v>21</v>
      </c>
      <c r="BC139" s="668" t="str">
        <f>P102</f>
        <v>financial cycle</v>
      </c>
      <c r="BD139" s="668" t="str">
        <f t="shared" si="7"/>
        <v>financial cycle</v>
      </c>
      <c r="BE139" s="668" t="str">
        <f t="shared" si="8"/>
        <v>Issue:  financial cycle (-10 points)</v>
      </c>
      <c r="EE139" s="1031"/>
      <c r="EF139" s="1027"/>
      <c r="EG139" s="1027"/>
      <c r="EH139" s="1027"/>
      <c r="EI139" s="1027"/>
      <c r="EJ139" s="1027"/>
      <c r="EK139" s="1027"/>
      <c r="EL139" s="1028"/>
      <c r="EM139" s="1023" t="s">
        <v>413</v>
      </c>
      <c r="EN139" s="1027"/>
      <c r="EO139" s="1027"/>
      <c r="EP139" s="1027"/>
      <c r="EQ139" s="1027"/>
      <c r="ER139" s="1027"/>
      <c r="ES139" s="1027"/>
      <c r="ET139" s="1028"/>
      <c r="EU139" s="1023" t="s">
        <v>414</v>
      </c>
      <c r="EV139" s="1027"/>
      <c r="EW139" s="1027"/>
      <c r="EX139" s="1027"/>
      <c r="EY139" s="1027"/>
      <c r="EZ139" s="1027"/>
      <c r="FA139" s="1027"/>
      <c r="FB139" s="1028"/>
    </row>
    <row r="140" spans="2:158">
      <c r="B140" s="756"/>
      <c r="C140" s="756"/>
      <c r="D140" s="1032"/>
      <c r="E140" s="1033"/>
      <c r="F140" s="1033"/>
      <c r="G140" s="1033"/>
      <c r="H140" s="1033"/>
      <c r="I140" s="1033"/>
      <c r="J140" s="1033"/>
      <c r="K140" s="1033"/>
      <c r="L140" s="1033"/>
      <c r="M140" s="1033"/>
    </row>
    <row r="141" spans="2:158">
      <c r="B141" s="756"/>
      <c r="C141" s="756"/>
      <c r="D141" s="1032"/>
      <c r="E141" s="1032"/>
      <c r="F141" s="1032"/>
      <c r="G141" s="1032"/>
      <c r="H141" s="1032"/>
      <c r="I141" s="1032"/>
      <c r="J141" s="1032"/>
      <c r="K141" s="1032"/>
      <c r="L141" s="1032"/>
      <c r="M141" s="1032"/>
    </row>
    <row r="148" spans="2:13">
      <c r="B148" s="755"/>
      <c r="C148" s="1032"/>
      <c r="D148" s="1033"/>
      <c r="E148" s="1033"/>
      <c r="F148" s="1033"/>
      <c r="G148" s="1033"/>
      <c r="H148" s="1033"/>
      <c r="I148" s="1033"/>
      <c r="J148" s="1033"/>
      <c r="K148" s="1033"/>
      <c r="L148" s="1033"/>
      <c r="M148" s="1033"/>
    </row>
    <row r="149" spans="2:13">
      <c r="B149" s="755"/>
      <c r="C149" s="1032"/>
      <c r="D149" s="1033"/>
      <c r="E149" s="1033"/>
      <c r="F149" s="1033"/>
      <c r="G149" s="1033"/>
      <c r="H149" s="1033"/>
      <c r="I149" s="1033"/>
      <c r="J149" s="1033"/>
      <c r="K149" s="1033"/>
      <c r="L149" s="1033"/>
      <c r="M149" s="1033"/>
    </row>
    <row r="150" spans="2:13">
      <c r="B150" s="755"/>
      <c r="C150" s="1032"/>
      <c r="D150" s="1033"/>
      <c r="E150" s="1033"/>
      <c r="F150" s="1033"/>
      <c r="G150" s="1033"/>
      <c r="H150" s="1033"/>
      <c r="I150" s="1033"/>
      <c r="J150" s="1033"/>
      <c r="K150" s="1033"/>
      <c r="L150" s="1033"/>
      <c r="M150" s="1033"/>
    </row>
    <row r="151" spans="2:13">
      <c r="B151" s="755"/>
      <c r="C151" s="1032"/>
      <c r="D151" s="1033"/>
      <c r="E151" s="1033"/>
      <c r="F151" s="1033"/>
      <c r="G151" s="1033"/>
      <c r="H151" s="1033"/>
      <c r="I151" s="1033"/>
      <c r="J151" s="1033"/>
      <c r="K151" s="1033"/>
      <c r="L151" s="1033"/>
      <c r="M151" s="1033"/>
    </row>
    <row r="152" spans="2:13">
      <c r="B152" s="755"/>
      <c r="C152" s="1032"/>
      <c r="D152" s="1033"/>
      <c r="E152" s="1033"/>
      <c r="F152" s="1033"/>
      <c r="G152" s="1033"/>
      <c r="H152" s="1033"/>
      <c r="I152" s="1033"/>
      <c r="J152" s="1033"/>
      <c r="K152" s="1033"/>
      <c r="L152" s="1033"/>
      <c r="M152" s="1033"/>
    </row>
    <row r="153" spans="2:13">
      <c r="B153" s="755"/>
      <c r="C153" s="1032"/>
      <c r="D153" s="1033"/>
      <c r="E153" s="1033"/>
      <c r="F153" s="1033"/>
      <c r="G153" s="1033"/>
      <c r="H153" s="1033"/>
      <c r="I153" s="1033"/>
      <c r="J153" s="1033"/>
      <c r="K153" s="1033"/>
      <c r="L153" s="1033"/>
      <c r="M153" s="1033"/>
    </row>
    <row r="154" spans="2:13">
      <c r="B154" s="755"/>
      <c r="C154" s="1032"/>
      <c r="D154" s="1033"/>
      <c r="E154" s="1033"/>
      <c r="F154" s="1033"/>
      <c r="G154" s="1033"/>
      <c r="H154" s="1033"/>
      <c r="I154" s="1033"/>
      <c r="J154" s="1033"/>
      <c r="K154" s="1033"/>
      <c r="L154" s="1033"/>
      <c r="M154" s="1033"/>
    </row>
    <row r="155" spans="2:13">
      <c r="B155" s="755"/>
      <c r="C155" s="1032"/>
      <c r="D155" s="1033"/>
      <c r="E155" s="1033"/>
      <c r="F155" s="1033"/>
      <c r="G155" s="1033"/>
      <c r="H155" s="1033"/>
      <c r="I155" s="1033"/>
      <c r="J155" s="1033"/>
      <c r="K155" s="1033"/>
      <c r="L155" s="1033"/>
      <c r="M155" s="1033"/>
    </row>
    <row r="166" spans="2:13">
      <c r="B166" s="755"/>
      <c r="C166" s="755"/>
      <c r="D166" s="1032"/>
      <c r="E166" s="1032"/>
      <c r="F166" s="1032"/>
      <c r="G166" s="1032"/>
      <c r="H166" s="1032"/>
      <c r="I166" s="1032"/>
      <c r="J166" s="1032"/>
      <c r="K166" s="1032"/>
      <c r="L166" s="1032"/>
      <c r="M166" s="1032"/>
    </row>
    <row r="167" spans="2:13">
      <c r="B167" s="756"/>
      <c r="C167" s="756"/>
      <c r="D167" s="1032"/>
      <c r="E167" s="1032"/>
      <c r="F167" s="1032"/>
      <c r="G167" s="1032"/>
      <c r="H167" s="1032"/>
      <c r="I167" s="1032"/>
      <c r="J167" s="1032"/>
      <c r="K167" s="1032"/>
      <c r="L167" s="1032"/>
      <c r="M167" s="1032"/>
    </row>
    <row r="168" spans="2:13">
      <c r="B168" s="756"/>
      <c r="C168" s="756"/>
      <c r="D168" s="1032"/>
      <c r="E168" s="1032"/>
      <c r="F168" s="1032"/>
      <c r="G168" s="1032"/>
      <c r="H168" s="1032"/>
      <c r="I168" s="1032"/>
      <c r="J168" s="1032"/>
      <c r="K168" s="1032"/>
      <c r="L168" s="1032"/>
      <c r="M168" s="1032"/>
    </row>
    <row r="170" spans="2:13">
      <c r="B170" s="755"/>
      <c r="C170" s="755"/>
      <c r="D170" s="1032"/>
      <c r="E170" s="1032"/>
      <c r="F170" s="1032"/>
      <c r="G170" s="1032"/>
      <c r="H170" s="1032"/>
      <c r="I170" s="1032"/>
      <c r="J170" s="1032"/>
      <c r="K170" s="1032"/>
      <c r="L170" s="1032"/>
      <c r="M170" s="1032"/>
    </row>
    <row r="171" spans="2:13">
      <c r="B171" s="756"/>
      <c r="C171" s="756"/>
      <c r="D171" s="1032"/>
      <c r="E171" s="1032"/>
      <c r="F171" s="1032"/>
      <c r="G171" s="1032"/>
      <c r="H171" s="1032"/>
      <c r="I171" s="1032"/>
      <c r="J171" s="1032"/>
      <c r="K171" s="1032"/>
      <c r="L171" s="1032"/>
      <c r="M171" s="1032"/>
    </row>
    <row r="172" spans="2:13">
      <c r="B172" s="756"/>
      <c r="C172" s="756"/>
      <c r="D172" s="1032"/>
      <c r="E172" s="1032"/>
      <c r="F172" s="1032"/>
      <c r="G172" s="1032"/>
      <c r="H172" s="1032"/>
      <c r="I172" s="1032"/>
      <c r="J172" s="1032"/>
      <c r="K172" s="1032"/>
      <c r="L172" s="1032"/>
      <c r="M172" s="1032"/>
    </row>
    <row r="175" spans="2:13">
      <c r="B175" s="755"/>
      <c r="C175" s="755"/>
      <c r="D175" s="1032"/>
      <c r="E175" s="1032"/>
      <c r="F175" s="1032"/>
      <c r="G175" s="1032"/>
      <c r="H175" s="1032"/>
      <c r="I175" s="1032"/>
      <c r="J175" s="1032"/>
      <c r="K175" s="1032"/>
      <c r="L175" s="1032"/>
      <c r="M175" s="1032"/>
    </row>
    <row r="176" spans="2:13">
      <c r="B176" s="756"/>
      <c r="C176" s="756"/>
      <c r="D176" s="1032"/>
      <c r="E176" s="1032"/>
      <c r="F176" s="1032"/>
      <c r="G176" s="1032"/>
      <c r="H176" s="1032"/>
      <c r="I176" s="1032"/>
      <c r="J176" s="1032"/>
      <c r="K176" s="1032"/>
      <c r="L176" s="1032"/>
      <c r="M176" s="1032"/>
    </row>
    <row r="177" spans="2:13">
      <c r="B177" s="756"/>
      <c r="C177" s="756"/>
      <c r="D177" s="1032"/>
      <c r="E177" s="1032"/>
      <c r="F177" s="1032"/>
      <c r="G177" s="1032"/>
      <c r="H177" s="1032"/>
      <c r="I177" s="1032"/>
      <c r="J177" s="1032"/>
      <c r="K177" s="1032"/>
      <c r="L177" s="1032"/>
      <c r="M177" s="1032"/>
    </row>
    <row r="178" spans="2:13">
      <c r="B178" s="756"/>
      <c r="C178" s="756"/>
      <c r="D178" s="1032"/>
      <c r="E178" s="1032"/>
      <c r="F178" s="1032"/>
      <c r="G178" s="1032"/>
      <c r="H178" s="1032"/>
      <c r="I178" s="1032"/>
      <c r="J178" s="1032"/>
      <c r="K178" s="1032"/>
      <c r="L178" s="1032"/>
      <c r="M178" s="1032"/>
    </row>
    <row r="180" spans="2:13">
      <c r="B180" s="755"/>
      <c r="C180" s="755"/>
      <c r="D180" s="1032"/>
      <c r="E180" s="1032"/>
      <c r="F180" s="1032"/>
      <c r="G180" s="1032"/>
      <c r="H180" s="1032"/>
      <c r="I180" s="1032"/>
      <c r="J180" s="1032"/>
      <c r="K180" s="1032"/>
      <c r="L180" s="1032"/>
      <c r="M180" s="1032"/>
    </row>
    <row r="181" spans="2:13">
      <c r="B181" s="756"/>
      <c r="C181" s="756"/>
      <c r="D181" s="1032"/>
      <c r="E181" s="1032"/>
      <c r="F181" s="1032"/>
      <c r="G181" s="1032"/>
      <c r="H181" s="1032"/>
      <c r="I181" s="1032"/>
      <c r="J181" s="1032"/>
      <c r="K181" s="1032"/>
      <c r="L181" s="1032"/>
      <c r="M181" s="1032"/>
    </row>
    <row r="182" spans="2:13">
      <c r="B182" s="756"/>
      <c r="C182" s="756"/>
      <c r="D182" s="1032"/>
      <c r="E182" s="1032"/>
      <c r="F182" s="1032"/>
      <c r="G182" s="1032"/>
      <c r="H182" s="1032"/>
      <c r="I182" s="1032"/>
      <c r="J182" s="1032"/>
      <c r="K182" s="1032"/>
      <c r="L182" s="1032"/>
      <c r="M182" s="1032"/>
    </row>
    <row r="183" spans="2:13">
      <c r="B183" s="756"/>
      <c r="C183" s="756"/>
      <c r="D183" s="1032"/>
      <c r="E183" s="1032"/>
      <c r="F183" s="1032"/>
      <c r="G183" s="1032"/>
      <c r="H183" s="1032"/>
      <c r="I183" s="1032"/>
      <c r="J183" s="1032"/>
      <c r="K183" s="1032"/>
      <c r="L183" s="1032"/>
      <c r="M183" s="1032"/>
    </row>
    <row r="185" spans="2:13">
      <c r="B185" s="755"/>
      <c r="C185" s="755"/>
      <c r="D185" s="1032"/>
      <c r="E185" s="1032"/>
      <c r="F185" s="1032"/>
      <c r="G185" s="1032"/>
      <c r="H185" s="1032"/>
      <c r="I185" s="1032"/>
      <c r="J185" s="1032"/>
      <c r="K185" s="1032"/>
      <c r="L185" s="1032"/>
      <c r="M185" s="1032"/>
    </row>
    <row r="186" spans="2:13">
      <c r="B186" s="756"/>
      <c r="C186" s="756"/>
      <c r="D186" s="1032"/>
      <c r="E186" s="1032"/>
      <c r="F186" s="1032"/>
      <c r="G186" s="1032"/>
      <c r="H186" s="1032"/>
      <c r="I186" s="1032"/>
      <c r="J186" s="1032"/>
      <c r="K186" s="1032"/>
      <c r="L186" s="1032"/>
      <c r="M186" s="1032"/>
    </row>
    <row r="187" spans="2:13">
      <c r="B187" s="756"/>
      <c r="C187" s="756"/>
      <c r="D187" s="1032"/>
      <c r="E187" s="1032"/>
      <c r="F187" s="1032"/>
      <c r="G187" s="1032"/>
      <c r="H187" s="1032"/>
      <c r="I187" s="1032"/>
      <c r="J187" s="1032"/>
      <c r="K187" s="1032"/>
      <c r="L187" s="1032"/>
      <c r="M187" s="1032"/>
    </row>
    <row r="188" spans="2:13">
      <c r="B188" s="756"/>
      <c r="C188" s="756"/>
      <c r="D188" s="1032"/>
      <c r="E188" s="1032"/>
      <c r="F188" s="1032"/>
      <c r="G188" s="1032"/>
      <c r="H188" s="1032"/>
      <c r="I188" s="1032"/>
      <c r="J188" s="1032"/>
      <c r="K188" s="1032"/>
      <c r="L188" s="1032"/>
      <c r="M188" s="1032"/>
    </row>
    <row r="197" spans="2:13">
      <c r="B197" s="756"/>
      <c r="C197" s="756"/>
      <c r="D197" s="1032"/>
      <c r="E197" s="1032"/>
      <c r="F197" s="1032"/>
      <c r="G197" s="1032"/>
      <c r="H197" s="1032"/>
      <c r="I197" s="1032"/>
      <c r="J197" s="1032"/>
      <c r="K197" s="1032"/>
      <c r="L197" s="1032"/>
      <c r="M197" s="1032"/>
    </row>
    <row r="199" spans="2:13">
      <c r="B199" s="755"/>
      <c r="C199" s="755"/>
      <c r="D199" s="1032"/>
      <c r="E199" s="1032"/>
      <c r="F199" s="1032"/>
      <c r="G199" s="1032"/>
      <c r="H199" s="1032"/>
      <c r="I199" s="1032"/>
      <c r="J199" s="1032"/>
      <c r="K199" s="1032"/>
      <c r="L199" s="1032"/>
      <c r="M199" s="1032"/>
    </row>
    <row r="200" spans="2:13">
      <c r="B200" s="756"/>
      <c r="C200" s="756"/>
      <c r="D200" s="1032"/>
      <c r="E200" s="1032"/>
      <c r="F200" s="1032"/>
      <c r="G200" s="1032"/>
      <c r="H200" s="1032"/>
      <c r="I200" s="1032"/>
      <c r="J200" s="1032"/>
      <c r="K200" s="1032"/>
      <c r="L200" s="1032"/>
      <c r="M200" s="1032"/>
    </row>
    <row r="201" spans="2:13">
      <c r="B201" s="756"/>
      <c r="C201" s="756"/>
      <c r="D201" s="1032"/>
      <c r="E201" s="1032"/>
      <c r="F201" s="1032"/>
      <c r="G201" s="1032"/>
      <c r="H201" s="1032"/>
      <c r="I201" s="1032"/>
      <c r="J201" s="1032"/>
      <c r="K201" s="1032"/>
      <c r="L201" s="1032"/>
      <c r="M201" s="1032"/>
    </row>
    <row r="202" spans="2:13">
      <c r="B202" s="756"/>
      <c r="C202" s="756"/>
      <c r="D202" s="1032"/>
      <c r="E202" s="1032"/>
      <c r="F202" s="1032"/>
      <c r="G202" s="1032"/>
      <c r="H202" s="1032"/>
      <c r="I202" s="1032"/>
      <c r="J202" s="1032"/>
      <c r="K202" s="1032"/>
      <c r="L202" s="1032"/>
      <c r="M202" s="1032"/>
    </row>
    <row r="203" spans="2:13">
      <c r="B203" s="756"/>
      <c r="C203" s="756"/>
      <c r="D203" s="1032"/>
      <c r="E203" s="1032"/>
      <c r="F203" s="1032"/>
      <c r="G203" s="1032"/>
      <c r="H203" s="1032"/>
      <c r="I203" s="1032"/>
      <c r="J203" s="1032"/>
      <c r="K203" s="1032"/>
      <c r="L203" s="1032"/>
      <c r="M203" s="1032"/>
    </row>
    <row r="204" spans="2:13">
      <c r="B204" s="756"/>
      <c r="C204" s="756"/>
      <c r="D204" s="1032"/>
      <c r="E204" s="1032"/>
      <c r="F204" s="1032"/>
      <c r="G204" s="1032"/>
      <c r="H204" s="1032"/>
      <c r="I204" s="1032"/>
      <c r="J204" s="1032"/>
      <c r="K204" s="1032"/>
      <c r="L204" s="1032"/>
      <c r="M204" s="1032"/>
    </row>
    <row r="206" spans="2:13">
      <c r="B206" s="755"/>
      <c r="C206" s="755"/>
      <c r="D206" s="1032"/>
      <c r="E206" s="1032"/>
      <c r="F206" s="1032"/>
      <c r="G206" s="1032"/>
      <c r="H206" s="1032"/>
      <c r="I206" s="1032"/>
      <c r="J206" s="1032"/>
      <c r="K206" s="1032"/>
      <c r="L206" s="1032"/>
      <c r="M206" s="1032"/>
    </row>
    <row r="207" spans="2:13">
      <c r="B207" s="756"/>
      <c r="C207" s="756"/>
      <c r="D207" s="1032"/>
      <c r="E207" s="1032"/>
      <c r="F207" s="1032"/>
      <c r="G207" s="1032"/>
      <c r="H207" s="1032"/>
      <c r="I207" s="1032"/>
      <c r="J207" s="1032"/>
      <c r="K207" s="1032"/>
      <c r="L207" s="1032"/>
      <c r="M207" s="1032"/>
    </row>
    <row r="208" spans="2:13">
      <c r="B208" s="756"/>
      <c r="C208" s="756"/>
      <c r="D208" s="1032"/>
      <c r="E208" s="1032"/>
      <c r="F208" s="1032"/>
      <c r="G208" s="1032"/>
      <c r="H208" s="1032"/>
      <c r="I208" s="1032"/>
      <c r="J208" s="1032"/>
      <c r="K208" s="1032"/>
      <c r="L208" s="1032"/>
      <c r="M208" s="1032"/>
    </row>
    <row r="209" spans="2:13">
      <c r="B209" s="756"/>
      <c r="C209" s="756"/>
      <c r="D209" s="1032"/>
      <c r="E209" s="1032"/>
      <c r="F209" s="1032"/>
      <c r="G209" s="1032"/>
      <c r="H209" s="1032"/>
      <c r="I209" s="1032"/>
      <c r="J209" s="1032"/>
      <c r="K209" s="1032"/>
      <c r="L209" s="1032"/>
      <c r="M209" s="1032"/>
    </row>
    <row r="210" spans="2:13">
      <c r="B210" s="756"/>
      <c r="C210" s="756"/>
      <c r="D210" s="1032"/>
      <c r="E210" s="1032"/>
      <c r="F210" s="1032"/>
      <c r="G210" s="1032"/>
      <c r="H210" s="1032"/>
      <c r="I210" s="1032"/>
      <c r="J210" s="1032"/>
      <c r="K210" s="1032"/>
      <c r="L210" s="1032"/>
      <c r="M210" s="1032"/>
    </row>
    <row r="211" spans="2:13">
      <c r="B211" s="756"/>
      <c r="C211" s="756"/>
      <c r="D211" s="1032"/>
      <c r="E211" s="1032"/>
      <c r="F211" s="1032"/>
      <c r="G211" s="1032"/>
      <c r="H211" s="1032"/>
      <c r="I211" s="1032"/>
      <c r="J211" s="1032"/>
      <c r="K211" s="1032"/>
      <c r="L211" s="1032"/>
      <c r="M211" s="1032"/>
    </row>
    <row r="216" spans="2:13">
      <c r="B216" s="755"/>
      <c r="C216" s="755"/>
      <c r="D216" s="1032"/>
      <c r="E216" s="1032"/>
      <c r="F216" s="1032"/>
      <c r="G216" s="1032"/>
      <c r="H216" s="1032"/>
      <c r="I216" s="1032"/>
      <c r="J216" s="1032"/>
      <c r="K216" s="1032"/>
      <c r="L216" s="1032"/>
      <c r="M216" s="1032"/>
    </row>
    <row r="217" spans="2:13">
      <c r="B217" s="756"/>
      <c r="C217" s="756"/>
      <c r="D217" s="1032"/>
      <c r="E217" s="1032"/>
      <c r="F217" s="1032"/>
      <c r="G217" s="1032"/>
      <c r="H217" s="1032"/>
      <c r="I217" s="1032"/>
      <c r="J217" s="1032"/>
      <c r="K217" s="1032"/>
      <c r="L217" s="1032"/>
      <c r="M217" s="1032"/>
    </row>
    <row r="218" spans="2:13">
      <c r="B218" s="756"/>
      <c r="C218" s="756"/>
      <c r="D218" s="1032"/>
      <c r="E218" s="1032"/>
      <c r="F218" s="1032"/>
      <c r="G218" s="1032"/>
      <c r="H218" s="1032"/>
      <c r="I218" s="1032"/>
      <c r="J218" s="1032"/>
      <c r="K218" s="1032"/>
      <c r="L218" s="1032"/>
      <c r="M218" s="1032"/>
    </row>
    <row r="219" spans="2:13">
      <c r="B219" s="756"/>
      <c r="C219" s="756"/>
      <c r="D219" s="1032"/>
      <c r="E219" s="1032"/>
      <c r="F219" s="1032"/>
      <c r="G219" s="1032"/>
      <c r="H219" s="1032"/>
      <c r="I219" s="1032"/>
      <c r="J219" s="1032"/>
      <c r="K219" s="1032"/>
      <c r="L219" s="1032"/>
      <c r="M219" s="1032"/>
    </row>
    <row r="220" spans="2:13">
      <c r="B220" s="756"/>
      <c r="C220" s="756"/>
      <c r="D220" s="1032"/>
      <c r="E220" s="1032"/>
      <c r="F220" s="1032"/>
      <c r="G220" s="1032"/>
      <c r="H220" s="1032"/>
      <c r="I220" s="1032"/>
      <c r="J220" s="1032"/>
      <c r="K220" s="1032"/>
      <c r="L220" s="1032"/>
      <c r="M220" s="1032"/>
    </row>
    <row r="221" spans="2:13">
      <c r="B221" s="756"/>
      <c r="C221" s="756"/>
      <c r="D221" s="1032"/>
      <c r="E221" s="1032"/>
      <c r="F221" s="1032"/>
      <c r="G221" s="1032"/>
      <c r="H221" s="1032"/>
      <c r="I221" s="1032"/>
      <c r="J221" s="1032"/>
      <c r="K221" s="1032"/>
      <c r="L221" s="1032"/>
      <c r="M221" s="1032"/>
    </row>
    <row r="222" spans="2:13">
      <c r="B222" s="756"/>
      <c r="C222" s="756"/>
      <c r="D222" s="1032"/>
      <c r="E222" s="1032"/>
      <c r="F222" s="1032"/>
      <c r="G222" s="1032"/>
      <c r="H222" s="1032"/>
      <c r="I222" s="1032"/>
      <c r="J222" s="1032"/>
      <c r="K222" s="1032"/>
      <c r="L222" s="1032"/>
      <c r="M222" s="1032"/>
    </row>
    <row r="224" spans="2:13">
      <c r="B224" s="755"/>
      <c r="C224" s="755"/>
      <c r="D224" s="1032"/>
      <c r="E224" s="1032"/>
      <c r="F224" s="1032"/>
      <c r="G224" s="1032"/>
      <c r="H224" s="1032"/>
      <c r="I224" s="1032"/>
      <c r="J224" s="1032"/>
      <c r="K224" s="1032"/>
      <c r="L224" s="1032"/>
      <c r="M224" s="1032"/>
    </row>
    <row r="225" spans="2:13">
      <c r="B225" s="756"/>
      <c r="C225" s="756"/>
      <c r="D225" s="1032"/>
      <c r="E225" s="1032"/>
      <c r="F225" s="1032"/>
      <c r="G225" s="1032"/>
      <c r="H225" s="1032"/>
      <c r="I225" s="1032"/>
      <c r="J225" s="1032"/>
      <c r="K225" s="1032"/>
      <c r="L225" s="1032"/>
      <c r="M225" s="1032"/>
    </row>
    <row r="226" spans="2:13">
      <c r="B226" s="756"/>
      <c r="C226" s="756"/>
      <c r="D226" s="1032"/>
      <c r="E226" s="1032"/>
      <c r="F226" s="1032"/>
      <c r="G226" s="1032"/>
      <c r="H226" s="1032"/>
      <c r="I226" s="1032"/>
      <c r="J226" s="1032"/>
      <c r="K226" s="1032"/>
      <c r="L226" s="1032"/>
      <c r="M226" s="1032"/>
    </row>
    <row r="227" spans="2:13">
      <c r="B227" s="756"/>
      <c r="C227" s="756"/>
      <c r="D227" s="1032"/>
      <c r="E227" s="1032"/>
      <c r="F227" s="1032"/>
      <c r="G227" s="1032"/>
      <c r="H227" s="1032"/>
      <c r="I227" s="1032"/>
      <c r="J227" s="1032"/>
      <c r="K227" s="1032"/>
      <c r="L227" s="1032"/>
      <c r="M227" s="1032"/>
    </row>
    <row r="228" spans="2:13">
      <c r="B228" s="756"/>
      <c r="C228" s="756"/>
      <c r="D228" s="1032"/>
      <c r="E228" s="1032"/>
      <c r="F228" s="1032"/>
      <c r="G228" s="1032"/>
      <c r="H228" s="1032"/>
      <c r="I228" s="1032"/>
      <c r="J228" s="1032"/>
      <c r="K228" s="1032"/>
      <c r="L228" s="1032"/>
      <c r="M228" s="1032"/>
    </row>
    <row r="229" spans="2:13">
      <c r="B229" s="756"/>
      <c r="C229" s="756"/>
      <c r="D229" s="1032"/>
      <c r="E229" s="1032"/>
      <c r="F229" s="1032"/>
      <c r="G229" s="1032"/>
      <c r="H229" s="1032"/>
      <c r="I229" s="1032"/>
      <c r="J229" s="1032"/>
      <c r="K229" s="1032"/>
      <c r="L229" s="1032"/>
      <c r="M229" s="1032"/>
    </row>
    <row r="230" spans="2:13">
      <c r="B230" s="756"/>
      <c r="C230" s="756"/>
      <c r="D230" s="1032"/>
      <c r="E230" s="1032"/>
      <c r="F230" s="1032"/>
      <c r="G230" s="1032"/>
      <c r="H230" s="1032"/>
      <c r="I230" s="1032"/>
      <c r="J230" s="1032"/>
      <c r="K230" s="1032"/>
      <c r="L230" s="1032"/>
      <c r="M230" s="1032"/>
    </row>
    <row r="232" spans="2:13">
      <c r="B232" s="755"/>
      <c r="C232" s="755"/>
      <c r="D232" s="1032"/>
      <c r="E232" s="1032"/>
      <c r="F232" s="1032"/>
      <c r="G232" s="1032"/>
      <c r="H232" s="1032"/>
      <c r="I232" s="1032"/>
      <c r="J232" s="1032"/>
      <c r="K232" s="1032"/>
      <c r="L232" s="1032"/>
      <c r="M232" s="1032"/>
    </row>
    <row r="233" spans="2:13">
      <c r="B233" s="756"/>
      <c r="C233" s="756"/>
      <c r="D233" s="1032"/>
      <c r="E233" s="1032"/>
      <c r="F233" s="1032"/>
      <c r="G233" s="1032"/>
      <c r="H233" s="1032"/>
      <c r="I233" s="1032"/>
      <c r="J233" s="1032"/>
      <c r="K233" s="1032"/>
      <c r="L233" s="1032"/>
      <c r="M233" s="1032"/>
    </row>
    <row r="234" spans="2:13">
      <c r="B234" s="756"/>
      <c r="C234" s="756"/>
      <c r="D234" s="1032"/>
      <c r="E234" s="1032"/>
      <c r="F234" s="1032"/>
      <c r="G234" s="1032"/>
      <c r="H234" s="1032"/>
      <c r="I234" s="1032"/>
      <c r="J234" s="1032"/>
      <c r="K234" s="1032"/>
      <c r="L234" s="1032"/>
      <c r="M234" s="1032"/>
    </row>
    <row r="235" spans="2:13">
      <c r="B235" s="756"/>
      <c r="C235" s="756"/>
      <c r="D235" s="1032"/>
      <c r="E235" s="1032"/>
      <c r="F235" s="1032"/>
      <c r="G235" s="1032"/>
      <c r="H235" s="1032"/>
      <c r="I235" s="1032"/>
      <c r="J235" s="1032"/>
      <c r="K235" s="1032"/>
      <c r="L235" s="1032"/>
      <c r="M235" s="1032"/>
    </row>
    <row r="236" spans="2:13">
      <c r="B236" s="756"/>
      <c r="C236" s="756"/>
      <c r="D236" s="1032"/>
      <c r="E236" s="1032"/>
      <c r="F236" s="1032"/>
      <c r="G236" s="1032"/>
      <c r="H236" s="1032"/>
      <c r="I236" s="1032"/>
      <c r="J236" s="1032"/>
      <c r="K236" s="1032"/>
      <c r="L236" s="1032"/>
      <c r="M236" s="1032"/>
    </row>
    <row r="237" spans="2:13">
      <c r="B237" s="756"/>
      <c r="C237" s="756"/>
      <c r="D237" s="1032"/>
      <c r="E237" s="1032"/>
      <c r="F237" s="1032"/>
      <c r="G237" s="1032"/>
      <c r="H237" s="1032"/>
      <c r="I237" s="1032"/>
      <c r="J237" s="1032"/>
      <c r="K237" s="1032"/>
      <c r="L237" s="1032"/>
      <c r="M237" s="1032"/>
    </row>
    <row r="238" spans="2:13">
      <c r="B238" s="756"/>
      <c r="C238" s="756"/>
      <c r="D238" s="1032"/>
      <c r="E238" s="1032"/>
      <c r="F238" s="1032"/>
      <c r="G238" s="1032"/>
      <c r="H238" s="1032"/>
      <c r="I238" s="1032"/>
      <c r="J238" s="1032"/>
      <c r="K238" s="1032"/>
      <c r="L238" s="1032"/>
      <c r="M238" s="1032"/>
    </row>
  </sheetData>
  <mergeCells count="612">
    <mergeCell ref="D227:M227"/>
    <mergeCell ref="D233:M233"/>
    <mergeCell ref="D220:M220"/>
    <mergeCell ref="C118:M118"/>
    <mergeCell ref="C67:M67"/>
    <mergeCell ref="D93:M93"/>
    <mergeCell ref="D94:M94"/>
    <mergeCell ref="D95:M95"/>
    <mergeCell ref="D175:M175"/>
    <mergeCell ref="D177:M177"/>
    <mergeCell ref="D75:M75"/>
    <mergeCell ref="D76:M76"/>
    <mergeCell ref="D77:M77"/>
    <mergeCell ref="D78:M78"/>
    <mergeCell ref="D80:M80"/>
    <mergeCell ref="D82:M82"/>
    <mergeCell ref="D219:M219"/>
    <mergeCell ref="D176:M176"/>
    <mergeCell ref="D181:M181"/>
    <mergeCell ref="D185:M185"/>
    <mergeCell ref="D186:M186"/>
    <mergeCell ref="D197:M197"/>
    <mergeCell ref="D199:M199"/>
    <mergeCell ref="D200:M200"/>
    <mergeCell ref="D202:M202"/>
    <mergeCell ref="D203:M203"/>
    <mergeCell ref="D204:M204"/>
    <mergeCell ref="D206:M206"/>
    <mergeCell ref="D207:M207"/>
    <mergeCell ref="D208:M208"/>
    <mergeCell ref="D209:M209"/>
    <mergeCell ref="D210:M210"/>
    <mergeCell ref="D139:M139"/>
    <mergeCell ref="D237:M237"/>
    <mergeCell ref="D188:M188"/>
    <mergeCell ref="D140:M140"/>
    <mergeCell ref="D141:M141"/>
    <mergeCell ref="D136:M136"/>
    <mergeCell ref="D137:M137"/>
    <mergeCell ref="C153:M153"/>
    <mergeCell ref="C154:M154"/>
    <mergeCell ref="C155:M155"/>
    <mergeCell ref="D211:M211"/>
    <mergeCell ref="D222:M222"/>
    <mergeCell ref="D224:M224"/>
    <mergeCell ref="D225:M225"/>
    <mergeCell ref="D226:M226"/>
    <mergeCell ref="D228:M228"/>
    <mergeCell ref="D229:M229"/>
    <mergeCell ref="D230:M230"/>
    <mergeCell ref="D232:M232"/>
    <mergeCell ref="D234:M234"/>
    <mergeCell ref="D235:M235"/>
    <mergeCell ref="D236:M236"/>
    <mergeCell ref="D221:M221"/>
    <mergeCell ref="D218:M218"/>
    <mergeCell ref="D216:M216"/>
    <mergeCell ref="D79:M79"/>
    <mergeCell ref="D81:M81"/>
    <mergeCell ref="D201:M201"/>
    <mergeCell ref="D180:M180"/>
    <mergeCell ref="D183:M183"/>
    <mergeCell ref="D135:M135"/>
    <mergeCell ref="D187:M187"/>
    <mergeCell ref="D131:M131"/>
    <mergeCell ref="D132:M132"/>
    <mergeCell ref="D133:M133"/>
    <mergeCell ref="D125:M125"/>
    <mergeCell ref="D166:M166"/>
    <mergeCell ref="C104:M104"/>
    <mergeCell ref="C148:M148"/>
    <mergeCell ref="D168:M168"/>
    <mergeCell ref="C106:M106"/>
    <mergeCell ref="C112:M112"/>
    <mergeCell ref="D182:M182"/>
    <mergeCell ref="D127:M127"/>
    <mergeCell ref="D128:M128"/>
    <mergeCell ref="D129:M129"/>
    <mergeCell ref="EU122:FB122"/>
    <mergeCell ref="EU97:FB97"/>
    <mergeCell ref="Z112:AG112"/>
    <mergeCell ref="C150:M150"/>
    <mergeCell ref="EM117:ET117"/>
    <mergeCell ref="EU116:FB116"/>
    <mergeCell ref="EU133:FB133"/>
    <mergeCell ref="EU108:FB108"/>
    <mergeCell ref="EU117:FB117"/>
    <mergeCell ref="EE125:EL125"/>
    <mergeCell ref="P127:W127"/>
    <mergeCell ref="P135:W135"/>
    <mergeCell ref="EU112:FB112"/>
    <mergeCell ref="EU130:FB130"/>
    <mergeCell ref="EU114:FB114"/>
    <mergeCell ref="EE113:EL113"/>
    <mergeCell ref="EU132:FB132"/>
    <mergeCell ref="EU115:FB115"/>
    <mergeCell ref="EU120:FB120"/>
    <mergeCell ref="EE134:EL134"/>
    <mergeCell ref="D178:M178"/>
    <mergeCell ref="D123:M123"/>
    <mergeCell ref="D124:M124"/>
    <mergeCell ref="EM138:ET138"/>
    <mergeCell ref="P114:W114"/>
    <mergeCell ref="Z135:AG135"/>
    <mergeCell ref="Z129:AG129"/>
    <mergeCell ref="O128:W128"/>
    <mergeCell ref="EU94:FB94"/>
    <mergeCell ref="EE135:EL135"/>
    <mergeCell ref="EU119:FB119"/>
    <mergeCell ref="EU118:FB118"/>
    <mergeCell ref="EE102:EL102"/>
    <mergeCell ref="C116:M116"/>
    <mergeCell ref="EE106:EL106"/>
    <mergeCell ref="P130:W130"/>
    <mergeCell ref="P133:W133"/>
    <mergeCell ref="EU136:FB136"/>
    <mergeCell ref="EE136:EL136"/>
    <mergeCell ref="EM127:ET127"/>
    <mergeCell ref="EE127:EL127"/>
    <mergeCell ref="EU135:FB135"/>
    <mergeCell ref="EM136:ET136"/>
    <mergeCell ref="C151:M151"/>
    <mergeCell ref="D217:M217"/>
    <mergeCell ref="EU61:FB61"/>
    <mergeCell ref="EM61:ET61"/>
    <mergeCell ref="Z61:AG61"/>
    <mergeCell ref="EM132:ET132"/>
    <mergeCell ref="EE129:EL129"/>
    <mergeCell ref="Z64:AG64"/>
    <mergeCell ref="Z51:AG51"/>
    <mergeCell ref="EM116:ET116"/>
    <mergeCell ref="Z138:AG138"/>
    <mergeCell ref="EM82:ET82"/>
    <mergeCell ref="O136:W136"/>
    <mergeCell ref="C117:M117"/>
    <mergeCell ref="Y54:AG54"/>
    <mergeCell ref="P83:W83"/>
    <mergeCell ref="EE93:EL93"/>
    <mergeCell ref="EE65:EL65"/>
    <mergeCell ref="P90:W90"/>
    <mergeCell ref="EU96:FB96"/>
    <mergeCell ref="EU88:FB88"/>
    <mergeCell ref="EU98:FB98"/>
    <mergeCell ref="EU77:FB77"/>
    <mergeCell ref="EU66:FB66"/>
    <mergeCell ref="EE131:EL131"/>
    <mergeCell ref="EM107:ET107"/>
    <mergeCell ref="EE107:EL107"/>
    <mergeCell ref="P56:W56"/>
    <mergeCell ref="C120:M120"/>
    <mergeCell ref="P20:W20"/>
    <mergeCell ref="O44:W44"/>
    <mergeCell ref="P85:W85"/>
    <mergeCell ref="C102:M102"/>
    <mergeCell ref="EM104:ET104"/>
    <mergeCell ref="EM91:ET91"/>
    <mergeCell ref="EM106:ET106"/>
    <mergeCell ref="EM93:ET93"/>
    <mergeCell ref="EM119:ET119"/>
    <mergeCell ref="EM111:ET111"/>
    <mergeCell ref="EM75:ET75"/>
    <mergeCell ref="P102:W102"/>
    <mergeCell ref="Z25:AG25"/>
    <mergeCell ref="EM85:ET85"/>
    <mergeCell ref="EE110:EL110"/>
    <mergeCell ref="EE85:EL85"/>
    <mergeCell ref="Z78:AG78"/>
    <mergeCell ref="EE112:EL112"/>
    <mergeCell ref="Z128:AG128"/>
    <mergeCell ref="P93:W93"/>
    <mergeCell ref="Y39:AG39"/>
    <mergeCell ref="C105:M105"/>
    <mergeCell ref="Z65:AG65"/>
    <mergeCell ref="C68:M68"/>
    <mergeCell ref="P35:W35"/>
    <mergeCell ref="C119:M119"/>
    <mergeCell ref="O104:W104"/>
    <mergeCell ref="P111:W111"/>
    <mergeCell ref="P86:W86"/>
    <mergeCell ref="P61:W61"/>
    <mergeCell ref="Z83:AG83"/>
    <mergeCell ref="P125:W125"/>
    <mergeCell ref="Z80:AG80"/>
    <mergeCell ref="P105:W105"/>
    <mergeCell ref="O54:W54"/>
    <mergeCell ref="Y49:AG49"/>
    <mergeCell ref="P70:W70"/>
    <mergeCell ref="P98:W98"/>
    <mergeCell ref="Z88:AG88"/>
    <mergeCell ref="O100:W100"/>
    <mergeCell ref="Z84:AG84"/>
    <mergeCell ref="Z101:AG101"/>
    <mergeCell ref="Z125:AG125"/>
    <mergeCell ref="EM65:ET65"/>
    <mergeCell ref="EU62:FB62"/>
    <mergeCell ref="P15:W15"/>
    <mergeCell ref="P71:W71"/>
    <mergeCell ref="O49:W49"/>
    <mergeCell ref="P79:W79"/>
    <mergeCell ref="P73:W73"/>
    <mergeCell ref="Z50:AG50"/>
    <mergeCell ref="EE103:EL103"/>
    <mergeCell ref="P36:W36"/>
    <mergeCell ref="P101:W101"/>
    <mergeCell ref="EU63:FB63"/>
    <mergeCell ref="EM88:ET88"/>
    <mergeCell ref="EU95:FB95"/>
    <mergeCell ref="EM98:ET98"/>
    <mergeCell ref="EU89:FB89"/>
    <mergeCell ref="EM90:ET90"/>
    <mergeCell ref="EM64:ET64"/>
    <mergeCell ref="EU106:FB106"/>
    <mergeCell ref="EE80:EL80"/>
    <mergeCell ref="EU90:FB90"/>
    <mergeCell ref="Z124:AG124"/>
    <mergeCell ref="EE81:EL81"/>
    <mergeCell ref="EM128:ET128"/>
    <mergeCell ref="EU125:FB125"/>
    <mergeCell ref="EE128:EL128"/>
    <mergeCell ref="EU104:FB104"/>
    <mergeCell ref="EU91:FB91"/>
    <mergeCell ref="EU72:FB72"/>
    <mergeCell ref="EU103:FB103"/>
    <mergeCell ref="EE124:EL124"/>
    <mergeCell ref="EE118:EL118"/>
    <mergeCell ref="EM80:ET80"/>
    <mergeCell ref="EE126:EL126"/>
    <mergeCell ref="EU113:FB113"/>
    <mergeCell ref="EU110:FB110"/>
    <mergeCell ref="EE84:EL84"/>
    <mergeCell ref="EE99:EL99"/>
    <mergeCell ref="EE86:EL86"/>
    <mergeCell ref="EE101:EL101"/>
    <mergeCell ref="EE79:EL79"/>
    <mergeCell ref="EE88:EL88"/>
    <mergeCell ref="EE90:EL90"/>
    <mergeCell ref="EE104:EL104"/>
    <mergeCell ref="EE91:EL91"/>
    <mergeCell ref="EE100:EL100"/>
    <mergeCell ref="EE94:EL94"/>
    <mergeCell ref="EU127:FB127"/>
    <mergeCell ref="EE70:EL70"/>
    <mergeCell ref="AL11:AU11"/>
    <mergeCell ref="EM129:ET129"/>
    <mergeCell ref="Z127:AG127"/>
    <mergeCell ref="AJ12:AK12"/>
    <mergeCell ref="Y29:AG29"/>
    <mergeCell ref="AJ14:AK14"/>
    <mergeCell ref="Z115:AG115"/>
    <mergeCell ref="Z102:AG102"/>
    <mergeCell ref="EU87:FB87"/>
    <mergeCell ref="AL12:AU12"/>
    <mergeCell ref="Y44:AG44"/>
    <mergeCell ref="AJ16:AK16"/>
    <mergeCell ref="Z35:AG35"/>
    <mergeCell ref="AJ17:AU37"/>
    <mergeCell ref="Z36:AG36"/>
    <mergeCell ref="Z30:AG30"/>
    <mergeCell ref="Z62:AG62"/>
    <mergeCell ref="Z56:AG56"/>
    <mergeCell ref="EU65:FB65"/>
    <mergeCell ref="EE73:EL73"/>
    <mergeCell ref="EM114:ET114"/>
    <mergeCell ref="EU128:FB128"/>
    <mergeCell ref="P134:W134"/>
    <mergeCell ref="EM131:ET131"/>
    <mergeCell ref="O34:W34"/>
    <mergeCell ref="EU138:FB138"/>
    <mergeCell ref="EU82:FB82"/>
    <mergeCell ref="O39:W39"/>
    <mergeCell ref="EE121:EL121"/>
    <mergeCell ref="EM83:ET83"/>
    <mergeCell ref="O92:W92"/>
    <mergeCell ref="Z105:AG105"/>
    <mergeCell ref="EE123:EL123"/>
    <mergeCell ref="P129:W129"/>
    <mergeCell ref="Z120:AG120"/>
    <mergeCell ref="EE60:EL60"/>
    <mergeCell ref="EM113:ET113"/>
    <mergeCell ref="EM78:ET78"/>
    <mergeCell ref="P131:W131"/>
    <mergeCell ref="Z57:AG57"/>
    <mergeCell ref="Z113:AG113"/>
    <mergeCell ref="Z100:AG100"/>
    <mergeCell ref="Z86:AG86"/>
    <mergeCell ref="Z81:AG81"/>
    <mergeCell ref="Z117:AG117"/>
    <mergeCell ref="Z133:AG133"/>
    <mergeCell ref="O8:P8"/>
    <mergeCell ref="P57:W57"/>
    <mergeCell ref="P22:W22"/>
    <mergeCell ref="P45:W45"/>
    <mergeCell ref="P65:W65"/>
    <mergeCell ref="Z20:AG20"/>
    <mergeCell ref="Z11:AG11"/>
    <mergeCell ref="Z77:AG77"/>
    <mergeCell ref="EE122:EL122"/>
    <mergeCell ref="AL9:AU9"/>
    <mergeCell ref="O9:W9"/>
    <mergeCell ref="P106:W106"/>
    <mergeCell ref="Z12:AG12"/>
    <mergeCell ref="O14:W14"/>
    <mergeCell ref="Z15:AG15"/>
    <mergeCell ref="Y14:AG14"/>
    <mergeCell ref="Y34:AG34"/>
    <mergeCell ref="AT14:AU14"/>
    <mergeCell ref="AL14:AM14"/>
    <mergeCell ref="AN14:AO14"/>
    <mergeCell ref="O29:W29"/>
    <mergeCell ref="Z75:AG75"/>
    <mergeCell ref="P41:W41"/>
    <mergeCell ref="Z45:AG45"/>
    <mergeCell ref="EE92:EL92"/>
    <mergeCell ref="O88:W88"/>
    <mergeCell ref="Z55:AG55"/>
    <mergeCell ref="P16:W16"/>
    <mergeCell ref="EU86:FB86"/>
    <mergeCell ref="P94:W94"/>
    <mergeCell ref="EE72:EL72"/>
    <mergeCell ref="Z94:AG94"/>
    <mergeCell ref="P47:W47"/>
    <mergeCell ref="Z69:AG69"/>
    <mergeCell ref="Z87:AG87"/>
    <mergeCell ref="Z89:AG89"/>
    <mergeCell ref="EU70:FB70"/>
    <mergeCell ref="EU69:FB69"/>
    <mergeCell ref="P117:W117"/>
    <mergeCell ref="EM73:ET73"/>
    <mergeCell ref="P55:W55"/>
    <mergeCell ref="Z74:AG74"/>
    <mergeCell ref="EM67:ET67"/>
    <mergeCell ref="Z67:AG67"/>
    <mergeCell ref="P13:W13"/>
    <mergeCell ref="C149:M149"/>
    <mergeCell ref="EM86:ET86"/>
    <mergeCell ref="Z121:AG121"/>
    <mergeCell ref="EE139:EL139"/>
    <mergeCell ref="EM101:ET101"/>
    <mergeCell ref="Z21:AG21"/>
    <mergeCell ref="P10:W10"/>
    <mergeCell ref="EM124:ET124"/>
    <mergeCell ref="EM118:ET118"/>
    <mergeCell ref="EM135:ET135"/>
    <mergeCell ref="Z114:AG114"/>
    <mergeCell ref="P42:W42"/>
    <mergeCell ref="EM77:ET77"/>
    <mergeCell ref="Q8:R8"/>
    <mergeCell ref="EM84:ET84"/>
    <mergeCell ref="O80:W80"/>
    <mergeCell ref="O108:W108"/>
    <mergeCell ref="EM79:ET79"/>
    <mergeCell ref="Z85:AG85"/>
    <mergeCell ref="EM94:ET94"/>
    <mergeCell ref="Z132:AG132"/>
    <mergeCell ref="Z107:AG107"/>
    <mergeCell ref="EM134:ET134"/>
    <mergeCell ref="AJ39:AU47"/>
    <mergeCell ref="Z71:AG71"/>
    <mergeCell ref="EE89:EL89"/>
    <mergeCell ref="EE76:EL76"/>
    <mergeCell ref="Z73:AG73"/>
    <mergeCell ref="EM125:ET125"/>
    <mergeCell ref="EM100:ET100"/>
    <mergeCell ref="P97:W97"/>
    <mergeCell ref="O124:W124"/>
    <mergeCell ref="EM70:ET70"/>
    <mergeCell ref="O64:W64"/>
    <mergeCell ref="P67:W67"/>
    <mergeCell ref="EM72:ET72"/>
    <mergeCell ref="EE109:EL109"/>
    <mergeCell ref="P118:W118"/>
    <mergeCell ref="EE117:EL117"/>
    <mergeCell ref="EM108:ET108"/>
    <mergeCell ref="D238:M238"/>
    <mergeCell ref="AJ49:AU57"/>
    <mergeCell ref="Z123:AG123"/>
    <mergeCell ref="Z110:AG110"/>
    <mergeCell ref="EU78:FB78"/>
    <mergeCell ref="EM81:ET81"/>
    <mergeCell ref="Z60:AG60"/>
    <mergeCell ref="Z103:AG103"/>
    <mergeCell ref="P30:W30"/>
    <mergeCell ref="EE61:EL61"/>
    <mergeCell ref="D172:M172"/>
    <mergeCell ref="EM112:ET112"/>
    <mergeCell ref="EU109:FB109"/>
    <mergeCell ref="Z118:AG118"/>
    <mergeCell ref="Z136:AG136"/>
    <mergeCell ref="Z70:AG70"/>
    <mergeCell ref="EU129:FB129"/>
    <mergeCell ref="EE137:EL137"/>
    <mergeCell ref="C115:M115"/>
    <mergeCell ref="P81:W81"/>
    <mergeCell ref="EE87:EL87"/>
    <mergeCell ref="Z134:AG134"/>
    <mergeCell ref="EU131:FB131"/>
    <mergeCell ref="EE74:EL74"/>
    <mergeCell ref="AL10:AU10"/>
    <mergeCell ref="Z126:AG126"/>
    <mergeCell ref="EM103:ET103"/>
    <mergeCell ref="P31:W31"/>
    <mergeCell ref="P95:W95"/>
    <mergeCell ref="EM105:ET105"/>
    <mergeCell ref="O76:W76"/>
    <mergeCell ref="EM71:ET71"/>
    <mergeCell ref="EM120:ET120"/>
    <mergeCell ref="EM92:ET92"/>
    <mergeCell ref="EE95:EL95"/>
    <mergeCell ref="Z79:AG79"/>
    <mergeCell ref="EE97:EL97"/>
    <mergeCell ref="EM121:ET121"/>
    <mergeCell ref="EM115:ET115"/>
    <mergeCell ref="EE96:EL96"/>
    <mergeCell ref="Z10:AG10"/>
    <mergeCell ref="EM87:ET87"/>
    <mergeCell ref="P126:W126"/>
    <mergeCell ref="Z76:AG76"/>
    <mergeCell ref="EM110:ET110"/>
    <mergeCell ref="P115:W115"/>
    <mergeCell ref="EE108:EL108"/>
    <mergeCell ref="Z92:AG92"/>
    <mergeCell ref="AP14:AQ14"/>
    <mergeCell ref="P50:W50"/>
    <mergeCell ref="Z116:AG116"/>
    <mergeCell ref="P122:W122"/>
    <mergeCell ref="Z52:AG52"/>
    <mergeCell ref="EM62:ET62"/>
    <mergeCell ref="EE77:EL77"/>
    <mergeCell ref="C113:M113"/>
    <mergeCell ref="P107:W107"/>
    <mergeCell ref="P110:W110"/>
    <mergeCell ref="O60:W60"/>
    <mergeCell ref="P99:W99"/>
    <mergeCell ref="P75:W75"/>
    <mergeCell ref="O120:W120"/>
    <mergeCell ref="P25:W25"/>
    <mergeCell ref="EM60:ET60"/>
    <mergeCell ref="AR14:AS14"/>
    <mergeCell ref="C69:M69"/>
    <mergeCell ref="Z16:AG16"/>
    <mergeCell ref="EM102:ET102"/>
    <mergeCell ref="O84:W84"/>
    <mergeCell ref="Z32:AG32"/>
    <mergeCell ref="Z26:AG26"/>
    <mergeCell ref="P103:W103"/>
    <mergeCell ref="D171:M171"/>
    <mergeCell ref="P119:W119"/>
    <mergeCell ref="Z97:AG97"/>
    <mergeCell ref="Z72:AG72"/>
    <mergeCell ref="C103:M103"/>
    <mergeCell ref="EU121:FB121"/>
    <mergeCell ref="EU123:FB123"/>
    <mergeCell ref="EE66:EL66"/>
    <mergeCell ref="EM126:ET126"/>
    <mergeCell ref="C70:M70"/>
    <mergeCell ref="P66:W66"/>
    <mergeCell ref="P137:W137"/>
    <mergeCell ref="EM130:ET130"/>
    <mergeCell ref="EM68:ET68"/>
    <mergeCell ref="EE68:EL68"/>
    <mergeCell ref="EE105:EL105"/>
    <mergeCell ref="C66:M66"/>
    <mergeCell ref="EM123:ET123"/>
    <mergeCell ref="EE98:EL98"/>
    <mergeCell ref="P123:W123"/>
    <mergeCell ref="D167:M167"/>
    <mergeCell ref="EU99:FB99"/>
    <mergeCell ref="Z137:AG137"/>
    <mergeCell ref="Z139:AG139"/>
    <mergeCell ref="D170:M170"/>
    <mergeCell ref="C111:M111"/>
    <mergeCell ref="P78:W78"/>
    <mergeCell ref="EE71:EL71"/>
    <mergeCell ref="P91:W91"/>
    <mergeCell ref="Z82:AG82"/>
    <mergeCell ref="O96:W96"/>
    <mergeCell ref="EE116:EL116"/>
    <mergeCell ref="O72:W72"/>
    <mergeCell ref="EE75:EL75"/>
    <mergeCell ref="P113:W113"/>
    <mergeCell ref="O116:W116"/>
    <mergeCell ref="Z108:AG108"/>
    <mergeCell ref="Z95:AG95"/>
    <mergeCell ref="EE119:EL119"/>
    <mergeCell ref="P109:W109"/>
    <mergeCell ref="P82:W82"/>
    <mergeCell ref="EE78:EL78"/>
    <mergeCell ref="O132:W132"/>
    <mergeCell ref="P77:W77"/>
    <mergeCell ref="EE115:EL115"/>
    <mergeCell ref="P121:W121"/>
    <mergeCell ref="Z99:AG99"/>
    <mergeCell ref="Z131:AG131"/>
    <mergeCell ref="EU137:FB137"/>
    <mergeCell ref="Z41:AG41"/>
    <mergeCell ref="EM66:ET66"/>
    <mergeCell ref="EM95:ET95"/>
    <mergeCell ref="EE83:EL83"/>
    <mergeCell ref="Z130:AG130"/>
    <mergeCell ref="EU67:FB67"/>
    <mergeCell ref="Z68:AG68"/>
    <mergeCell ref="C101:M101"/>
    <mergeCell ref="C108:M108"/>
    <mergeCell ref="C110:M110"/>
    <mergeCell ref="EU80:FB80"/>
    <mergeCell ref="C109:M109"/>
    <mergeCell ref="EE63:EL63"/>
    <mergeCell ref="EU134:FB134"/>
    <mergeCell ref="EM137:ET137"/>
    <mergeCell ref="EU64:FB64"/>
    <mergeCell ref="C65:M65"/>
    <mergeCell ref="EU68:FB68"/>
    <mergeCell ref="EU85:FB85"/>
    <mergeCell ref="EU93:FB93"/>
    <mergeCell ref="P46:W46"/>
    <mergeCell ref="P40:W40"/>
    <mergeCell ref="EU111:FB111"/>
    <mergeCell ref="EM89:ET89"/>
    <mergeCell ref="EE114:EL114"/>
    <mergeCell ref="EM76:ET76"/>
    <mergeCell ref="Z111:AG111"/>
    <mergeCell ref="EM122:ET122"/>
    <mergeCell ref="Z98:AG98"/>
    <mergeCell ref="EM63:ET63"/>
    <mergeCell ref="Z63:AG63"/>
    <mergeCell ref="EM109:ET109"/>
    <mergeCell ref="Z90:AG90"/>
    <mergeCell ref="EE111:EL111"/>
    <mergeCell ref="EU83:FB83"/>
    <mergeCell ref="EU84:FB84"/>
    <mergeCell ref="EU76:FB76"/>
    <mergeCell ref="EU105:FB105"/>
    <mergeCell ref="EU101:FB101"/>
    <mergeCell ref="EU100:FB100"/>
    <mergeCell ref="EU102:FB102"/>
    <mergeCell ref="EU107:FB107"/>
    <mergeCell ref="EU74:FB74"/>
    <mergeCell ref="EU75:FB75"/>
    <mergeCell ref="EM99:ET99"/>
    <mergeCell ref="EM96:ET96"/>
    <mergeCell ref="EU60:FB60"/>
    <mergeCell ref="EE130:EL130"/>
    <mergeCell ref="P74:W74"/>
    <mergeCell ref="P139:W139"/>
    <mergeCell ref="EU124:FB124"/>
    <mergeCell ref="EE67:EL67"/>
    <mergeCell ref="EE138:EL138"/>
    <mergeCell ref="O112:W112"/>
    <mergeCell ref="EE132:EL132"/>
    <mergeCell ref="P138:W138"/>
    <mergeCell ref="EU139:FB139"/>
    <mergeCell ref="EE82:EL82"/>
    <mergeCell ref="EM69:ET69"/>
    <mergeCell ref="EU126:FB126"/>
    <mergeCell ref="EE69:EL69"/>
    <mergeCell ref="P69:W69"/>
    <mergeCell ref="Z91:AG91"/>
    <mergeCell ref="Z66:AG66"/>
    <mergeCell ref="EU92:FB92"/>
    <mergeCell ref="EU79:FB79"/>
    <mergeCell ref="EU73:FB73"/>
    <mergeCell ref="EU81:FB81"/>
    <mergeCell ref="EM74:ET74"/>
    <mergeCell ref="EU71:FB71"/>
    <mergeCell ref="C152:M152"/>
    <mergeCell ref="Z122:AG122"/>
    <mergeCell ref="P87:W87"/>
    <mergeCell ref="EE62:EL62"/>
    <mergeCell ref="EM97:ET97"/>
    <mergeCell ref="P62:W62"/>
    <mergeCell ref="Z119:AG119"/>
    <mergeCell ref="Z46:AG46"/>
    <mergeCell ref="AJ9:AK9"/>
    <mergeCell ref="Z40:AG40"/>
    <mergeCell ref="EE64:EL64"/>
    <mergeCell ref="EE120:EL120"/>
    <mergeCell ref="P89:W89"/>
    <mergeCell ref="P51:W51"/>
    <mergeCell ref="Z104:AG104"/>
    <mergeCell ref="AJ11:AK11"/>
    <mergeCell ref="P12:W12"/>
    <mergeCell ref="Y9:AG9"/>
    <mergeCell ref="Z27:AG27"/>
    <mergeCell ref="AJ10:AK10"/>
    <mergeCell ref="EM139:ET139"/>
    <mergeCell ref="Z109:AG109"/>
    <mergeCell ref="Z47:AG47"/>
    <mergeCell ref="Z96:AG96"/>
    <mergeCell ref="P52:W52"/>
    <mergeCell ref="O68:W68"/>
    <mergeCell ref="B5:C5"/>
    <mergeCell ref="EM133:ET133"/>
    <mergeCell ref="EE133:EL133"/>
    <mergeCell ref="Z106:AG106"/>
    <mergeCell ref="P11:W11"/>
    <mergeCell ref="Z22:AG22"/>
    <mergeCell ref="Z93:AG93"/>
    <mergeCell ref="O24:W24"/>
    <mergeCell ref="P27:W27"/>
    <mergeCell ref="Z17:AG17"/>
    <mergeCell ref="Y19:AG19"/>
    <mergeCell ref="P21:W21"/>
    <mergeCell ref="O19:W19"/>
    <mergeCell ref="P17:W17"/>
    <mergeCell ref="Z37:AG37"/>
    <mergeCell ref="Z42:AG42"/>
    <mergeCell ref="Y24:AG24"/>
    <mergeCell ref="Z31:AG31"/>
    <mergeCell ref="P26:W26"/>
    <mergeCell ref="P32:W32"/>
    <mergeCell ref="P37:W37"/>
    <mergeCell ref="P63:W6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2" r:id="rId4" name="Button 1032">
              <controlPr defaultSize="0" print="0" autoFill="0" autoPict="0" macro="[0]!Button8_Click">
                <anchor moveWithCells="1" sizeWithCells="1">
                  <from>
                    <xdr:col>6</xdr:col>
                    <xdr:colOff>482600</xdr:colOff>
                    <xdr:row>4</xdr:row>
                    <xdr:rowOff>12700</xdr:rowOff>
                  </from>
                  <to>
                    <xdr:col>8</xdr:col>
                    <xdr:colOff>12700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L100"/>
  <sheetViews>
    <sheetView zoomScale="87" zoomScaleNormal="100" workbookViewId="0">
      <selection activeCell="P15" sqref="P15"/>
    </sheetView>
  </sheetViews>
  <sheetFormatPr baseColWidth="10" defaultColWidth="9.1640625" defaultRowHeight="15"/>
  <cols>
    <col min="1" max="26" width="9.1640625" style="589" customWidth="1"/>
    <col min="27" max="27" width="10.6640625" style="589" bestFit="1" customWidth="1"/>
    <col min="28" max="30" width="9.1640625" style="589" customWidth="1"/>
    <col min="31" max="31" width="9.6640625" style="589" bestFit="1" customWidth="1"/>
    <col min="32" max="32" width="9.1640625" style="589" customWidth="1"/>
    <col min="33" max="33" width="10.6640625" style="589" bestFit="1" customWidth="1"/>
    <col min="34" max="35" width="9.1640625" style="589" customWidth="1"/>
    <col min="36" max="16384" width="9.1640625" style="589"/>
  </cols>
  <sheetData>
    <row r="1" spans="1:38">
      <c r="A1" s="1068" t="s">
        <v>7</v>
      </c>
      <c r="B1" s="1027"/>
      <c r="C1" s="1027"/>
      <c r="D1" s="1027"/>
      <c r="E1" s="1027"/>
      <c r="F1" s="1027"/>
      <c r="G1" s="1027"/>
      <c r="H1" s="1027"/>
      <c r="I1" s="1028"/>
    </row>
    <row r="2" spans="1:38">
      <c r="A2" s="590" t="s">
        <v>21</v>
      </c>
      <c r="B2" s="1070" t="s">
        <v>215</v>
      </c>
      <c r="C2" s="1027"/>
      <c r="D2" s="1027"/>
      <c r="E2" s="1027"/>
      <c r="F2" s="1027"/>
      <c r="G2" s="1027"/>
      <c r="H2" s="1027"/>
      <c r="I2" s="1028"/>
      <c r="J2" s="593">
        <f>ROUNDUP('summary dupont'!E43,0)</f>
        <v>62</v>
      </c>
      <c r="K2" s="619" t="str">
        <f>IF(J2&gt;=25,"Y","N")</f>
        <v>Y</v>
      </c>
      <c r="L2" s="592">
        <f>IF(K2="Y",20,-10)</f>
        <v>20</v>
      </c>
      <c r="M2" s="592">
        <v>20</v>
      </c>
      <c r="N2" s="592">
        <v>-10</v>
      </c>
    </row>
    <row r="3" spans="1:38">
      <c r="A3" s="590" t="s">
        <v>21</v>
      </c>
      <c r="B3" s="1070" t="s">
        <v>220</v>
      </c>
      <c r="C3" s="1027"/>
      <c r="D3" s="1027"/>
      <c r="E3" s="1027"/>
      <c r="F3" s="1027"/>
      <c r="G3" s="1027"/>
      <c r="H3" s="1027"/>
      <c r="I3" s="1028"/>
      <c r="J3" s="593">
        <f>IFERROR(ROUNDUP('summary dupont'!K43,0),"")</f>
        <v>56</v>
      </c>
      <c r="K3" s="619" t="str">
        <f>IF(J3&gt;=40,"Y","N")</f>
        <v>Y</v>
      </c>
      <c r="L3" s="592">
        <f>IF(K3="Y",20,-10)</f>
        <v>20</v>
      </c>
      <c r="M3" s="592">
        <v>20</v>
      </c>
      <c r="N3" s="592">
        <v>-10</v>
      </c>
    </row>
    <row r="4" spans="1:38">
      <c r="A4" s="590" t="s">
        <v>21</v>
      </c>
      <c r="B4" s="1069" t="s">
        <v>226</v>
      </c>
      <c r="C4" s="1027"/>
      <c r="D4" s="1027"/>
      <c r="E4" s="1027"/>
      <c r="F4" s="1027"/>
      <c r="G4" s="1027"/>
      <c r="H4" s="1027"/>
      <c r="I4" s="1028"/>
      <c r="J4" s="593">
        <f>ROUNDUP('summary dupont'!N43,0)</f>
        <v>34</v>
      </c>
      <c r="K4" s="619" t="str">
        <f>IF(J4&gt;=25,"Y","N")</f>
        <v>Y</v>
      </c>
      <c r="L4" s="592">
        <f>IF(K4="Y",20,-10)</f>
        <v>20</v>
      </c>
      <c r="M4" s="592">
        <v>20</v>
      </c>
      <c r="N4" s="592">
        <v>-10</v>
      </c>
    </row>
    <row r="5" spans="1:38">
      <c r="A5" s="1068" t="s">
        <v>8</v>
      </c>
      <c r="B5" s="1027"/>
      <c r="C5" s="1027"/>
      <c r="D5" s="1027"/>
      <c r="E5" s="1027"/>
      <c r="F5" s="1027"/>
      <c r="G5" s="1027"/>
      <c r="H5" s="1027"/>
      <c r="I5" s="1028"/>
      <c r="J5" s="587"/>
      <c r="K5" s="620"/>
      <c r="S5" s="589" t="s">
        <v>415</v>
      </c>
      <c r="T5" s="595"/>
    </row>
    <row r="6" spans="1:38">
      <c r="A6" s="591" t="s">
        <v>21</v>
      </c>
      <c r="B6" s="1070" t="s">
        <v>231</v>
      </c>
      <c r="C6" s="1027"/>
      <c r="D6" s="1027"/>
      <c r="E6" s="1027"/>
      <c r="F6" s="1027"/>
      <c r="G6" s="1027"/>
      <c r="H6" s="1027"/>
      <c r="I6" s="1028"/>
      <c r="J6" s="593">
        <f>ROUNDUP(MEDIAN('summary dupont'!H13:H15),0)</f>
        <v>-4</v>
      </c>
      <c r="K6" s="619" t="str">
        <f>IF(J6&gt;=10,"Y","N")</f>
        <v>N</v>
      </c>
      <c r="L6" s="592">
        <f>IF(K6="Y",20,-10)</f>
        <v>-10</v>
      </c>
      <c r="M6" s="592">
        <v>20</v>
      </c>
      <c r="N6" s="592">
        <v>-10</v>
      </c>
      <c r="S6" s="589" t="s">
        <v>416</v>
      </c>
      <c r="T6" s="595"/>
      <c r="Y6" s="589" t="e">
        <f ca="1">_xll.BQL('summary dupont'!B3&amp;" equity","applypreferences(mergers(announced_date=range(-5y,0d)),addcols='all')","showallcols=t","cols=14;rows=2")</f>
        <v>#NAME?</v>
      </c>
      <c r="Z6" s="589" t="s">
        <v>417</v>
      </c>
      <c r="AA6" s="589" t="s">
        <v>418</v>
      </c>
      <c r="AB6" s="589" t="s">
        <v>419</v>
      </c>
      <c r="AC6" s="589" t="s">
        <v>420</v>
      </c>
      <c r="AD6" s="589" t="s">
        <v>421</v>
      </c>
      <c r="AE6" s="589" t="s">
        <v>422</v>
      </c>
      <c r="AF6" s="589" t="s">
        <v>423</v>
      </c>
      <c r="AG6" s="589" t="s">
        <v>424</v>
      </c>
      <c r="AH6" s="589" t="s">
        <v>425</v>
      </c>
      <c r="AI6" s="589" t="s">
        <v>426</v>
      </c>
      <c r="AJ6" s="589" t="s">
        <v>427</v>
      </c>
      <c r="AK6" s="589" t="s">
        <v>428</v>
      </c>
      <c r="AL6" s="589" t="s">
        <v>429</v>
      </c>
    </row>
    <row r="7" spans="1:38">
      <c r="A7" s="591" t="s">
        <v>21</v>
      </c>
      <c r="B7" s="1070" t="s">
        <v>235</v>
      </c>
      <c r="C7" s="1027"/>
      <c r="D7" s="1027"/>
      <c r="E7" s="1027"/>
      <c r="F7" s="1027"/>
      <c r="G7" s="1027"/>
      <c r="H7" s="1027"/>
      <c r="I7" s="1028"/>
      <c r="J7" s="593">
        <f>ROUNDUP(MEDIAN('summary dupont'!H11:H15),0)</f>
        <v>-4</v>
      </c>
      <c r="K7" s="619" t="str">
        <f>IF(J7&gt;=10,"Y","N")</f>
        <v>N</v>
      </c>
      <c r="L7" s="592">
        <f>IF(K7="Y",20,-10)</f>
        <v>-10</v>
      </c>
      <c r="M7" s="592">
        <v>20</v>
      </c>
      <c r="N7" s="592">
        <v>-10</v>
      </c>
      <c r="S7" s="589" t="s">
        <v>430</v>
      </c>
      <c r="T7" s="595"/>
      <c r="Z7" s="589" t="e">
        <v>#N/A</v>
      </c>
      <c r="AA7" s="594" t="e">
        <v>#N/A</v>
      </c>
      <c r="AB7" s="594" t="e">
        <v>#N/A</v>
      </c>
      <c r="AC7" s="589" t="e">
        <v>#N/A</v>
      </c>
      <c r="AD7" s="589" t="e">
        <v>#N/A</v>
      </c>
      <c r="AE7" s="594" t="e">
        <v>#N/A</v>
      </c>
      <c r="AF7" s="589" t="e">
        <v>#N/A</v>
      </c>
      <c r="AG7" s="594" t="e">
        <v>#N/A</v>
      </c>
      <c r="AH7" s="589" t="e">
        <v>#N/A</v>
      </c>
      <c r="AI7" s="589" t="e">
        <v>#N/A</v>
      </c>
      <c r="AJ7" s="589" t="e">
        <v>#N/A</v>
      </c>
      <c r="AK7" s="589" t="e">
        <v>#N/A</v>
      </c>
      <c r="AL7" s="589" t="e">
        <v>#N/A</v>
      </c>
    </row>
    <row r="8" spans="1:38">
      <c r="A8" s="591" t="s">
        <v>21</v>
      </c>
      <c r="B8" s="1069" t="s">
        <v>239</v>
      </c>
      <c r="C8" s="1027"/>
      <c r="D8" s="1027"/>
      <c r="E8" s="1027"/>
      <c r="F8" s="1027"/>
      <c r="G8" s="1027"/>
      <c r="H8" s="1027"/>
      <c r="I8" s="1028"/>
      <c r="J8" s="593">
        <f>ROUNDUP(MEDIAN('summary dupont'!H6:H15),0)</f>
        <v>2</v>
      </c>
      <c r="K8" s="619" t="str">
        <f>IF(J8&gt;=10,"Y","N")</f>
        <v>N</v>
      </c>
      <c r="L8" s="592">
        <f>IF(K8="Y",20,-10)</f>
        <v>-10</v>
      </c>
      <c r="M8" s="592">
        <v>20</v>
      </c>
      <c r="N8" s="592">
        <v>-10</v>
      </c>
      <c r="S8" s="589" t="s">
        <v>431</v>
      </c>
      <c r="T8" s="595"/>
      <c r="AA8" s="594"/>
      <c r="AB8" s="594"/>
      <c r="AE8" s="594"/>
      <c r="AG8" s="594"/>
    </row>
    <row r="9" spans="1:38">
      <c r="A9" s="1068" t="s">
        <v>37</v>
      </c>
      <c r="B9" s="1027"/>
      <c r="C9" s="1027"/>
      <c r="D9" s="1027"/>
      <c r="E9" s="1027"/>
      <c r="F9" s="1027"/>
      <c r="G9" s="1027"/>
      <c r="H9" s="1027"/>
      <c r="I9" s="1028"/>
      <c r="J9" s="587"/>
      <c r="K9" s="620"/>
      <c r="S9" s="589" t="s">
        <v>432</v>
      </c>
      <c r="T9" s="595"/>
      <c r="AA9" s="594"/>
      <c r="AB9" s="594"/>
      <c r="AE9" s="594"/>
      <c r="AG9" s="594"/>
    </row>
    <row r="10" spans="1:38">
      <c r="A10" s="590" t="s">
        <v>21</v>
      </c>
      <c r="B10" s="1070" t="s">
        <v>243</v>
      </c>
      <c r="C10" s="1027"/>
      <c r="D10" s="1027"/>
      <c r="E10" s="1027"/>
      <c r="F10" s="1027"/>
      <c r="G10" s="1027"/>
      <c r="H10" s="1027"/>
      <c r="I10" s="1028"/>
      <c r="J10" s="771" t="str">
        <f ca="1">'gp dupont'!AK66</f>
        <v/>
      </c>
      <c r="K10" s="619" t="str">
        <f ca="1">IF(J10&lt;=0,"N","Y")</f>
        <v>Y</v>
      </c>
      <c r="L10" s="592">
        <f ca="1">IF(K10="Y",0,-10)</f>
        <v>0</v>
      </c>
      <c r="M10" s="592">
        <v>0</v>
      </c>
      <c r="N10" s="592">
        <v>-10</v>
      </c>
      <c r="S10" s="589" t="s">
        <v>433</v>
      </c>
      <c r="T10" s="595"/>
      <c r="AA10" s="594"/>
      <c r="AB10" s="594"/>
      <c r="AE10" s="594"/>
      <c r="AG10" s="594"/>
    </row>
    <row r="11" spans="1:38">
      <c r="A11" s="1068" t="s">
        <v>38</v>
      </c>
      <c r="B11" s="1027"/>
      <c r="C11" s="1027"/>
      <c r="D11" s="1027"/>
      <c r="E11" s="1027"/>
      <c r="F11" s="1027"/>
      <c r="G11" s="1027"/>
      <c r="H11" s="1027"/>
      <c r="I11" s="1028"/>
      <c r="J11" s="587"/>
      <c r="K11" s="620"/>
      <c r="S11" s="589" t="s">
        <v>434</v>
      </c>
      <c r="T11" s="595"/>
      <c r="AA11" s="594"/>
      <c r="AB11" s="594"/>
      <c r="AE11" s="594"/>
      <c r="AG11" s="594"/>
    </row>
    <row r="12" spans="1:38">
      <c r="A12" s="591" t="s">
        <v>21</v>
      </c>
      <c r="B12" s="1070" t="s">
        <v>253</v>
      </c>
      <c r="C12" s="1027"/>
      <c r="D12" s="1027"/>
      <c r="E12" s="1027"/>
      <c r="F12" s="1027"/>
      <c r="G12" s="1027"/>
      <c r="H12" s="1027"/>
      <c r="I12" s="1028"/>
      <c r="J12" s="593">
        <f>ROUNDUP('summary dupont'!Q43,0)</f>
        <v>94</v>
      </c>
      <c r="K12" s="619" t="str">
        <f>IF(J12&gt;=75,"Y","N")</f>
        <v>Y</v>
      </c>
      <c r="L12" s="592">
        <f>IF(K12="Y",20,-10)</f>
        <v>20</v>
      </c>
      <c r="M12" s="592">
        <v>20</v>
      </c>
      <c r="N12" s="592">
        <v>-10</v>
      </c>
      <c r="AA12" s="594"/>
      <c r="AB12" s="594"/>
      <c r="AE12" s="594"/>
      <c r="AG12" s="594"/>
    </row>
    <row r="13" spans="1:38">
      <c r="A13" s="591" t="s">
        <v>21</v>
      </c>
      <c r="B13" s="1070" t="s">
        <v>257</v>
      </c>
      <c r="C13" s="1027"/>
      <c r="D13" s="1027"/>
      <c r="E13" s="1027"/>
      <c r="F13" s="1027"/>
      <c r="G13" s="1027"/>
      <c r="H13" s="1027"/>
      <c r="I13" s="1028"/>
      <c r="J13" s="611">
        <f>ROUNDDOWN(AVERAGE('gp dupont'!AP61:AP65),0)</f>
        <v>82</v>
      </c>
      <c r="K13" s="619" t="str">
        <f>IF(J13&lt;50,"Y","N")</f>
        <v>N</v>
      </c>
      <c r="L13" s="592">
        <f>IF(K13="Y",20,-10)</f>
        <v>-10</v>
      </c>
      <c r="M13" s="592">
        <v>20</v>
      </c>
      <c r="N13" s="592">
        <v>-10</v>
      </c>
      <c r="AA13" s="594"/>
      <c r="AB13" s="594"/>
      <c r="AE13" s="594"/>
      <c r="AG13" s="594"/>
    </row>
    <row r="14" spans="1:38">
      <c r="A14" s="591" t="s">
        <v>21</v>
      </c>
      <c r="B14" s="1069" t="s">
        <v>261</v>
      </c>
      <c r="C14" s="1027"/>
      <c r="D14" s="1027"/>
      <c r="E14" s="1027"/>
      <c r="F14" s="1027"/>
      <c r="G14" s="1027"/>
      <c r="H14" s="1027"/>
      <c r="I14" s="1028"/>
      <c r="J14" s="593">
        <f>ROUNDDOWN(IFERROR(MEDIAN('summary dupont'!Z11:Z15),""),0)</f>
        <v>0</v>
      </c>
      <c r="K14" s="619" t="str">
        <f>IF(J14&lt;3,"N","Y")</f>
        <v>N</v>
      </c>
      <c r="L14" s="592">
        <f>IF(K14="Y",0,-10)</f>
        <v>-10</v>
      </c>
      <c r="M14" s="592">
        <v>0</v>
      </c>
      <c r="N14" s="592">
        <v>-10</v>
      </c>
      <c r="AA14" s="594"/>
      <c r="AB14" s="594"/>
      <c r="AE14" s="594"/>
      <c r="AG14" s="594"/>
    </row>
    <row r="15" spans="1:38">
      <c r="A15" s="1068" t="s">
        <v>95</v>
      </c>
      <c r="B15" s="1027"/>
      <c r="C15" s="1027"/>
      <c r="D15" s="1027"/>
      <c r="E15" s="1027"/>
      <c r="F15" s="1027"/>
      <c r="G15" s="1027"/>
      <c r="H15" s="1027"/>
      <c r="I15" s="1028"/>
      <c r="J15" s="587"/>
      <c r="K15" s="620"/>
      <c r="P15" s="617">
        <f>LLM!B5</f>
        <v>0</v>
      </c>
      <c r="AA15" s="594"/>
      <c r="AB15" s="594"/>
      <c r="AE15" s="594"/>
      <c r="AG15" s="594"/>
    </row>
    <row r="16" spans="1:38">
      <c r="A16" s="591" t="s">
        <v>21</v>
      </c>
      <c r="B16" s="1070" t="s">
        <v>274</v>
      </c>
      <c r="C16" s="1027"/>
      <c r="D16" s="1027"/>
      <c r="E16" s="1027"/>
      <c r="F16" s="1027"/>
      <c r="G16" s="1027"/>
      <c r="H16" s="1027"/>
      <c r="I16" s="1028"/>
      <c r="J16" s="690">
        <f>IFERROR(T53,"")</f>
        <v>2.1319070955764137E-2</v>
      </c>
      <c r="K16" s="619" t="str">
        <f>IF(J16&gt;0,"Y","N")</f>
        <v>Y</v>
      </c>
      <c r="L16" s="592">
        <f>IF(K16="Y",20,-10)</f>
        <v>20</v>
      </c>
      <c r="M16" s="592">
        <v>20</v>
      </c>
      <c r="N16" s="592">
        <v>-10</v>
      </c>
      <c r="P16" s="611" t="e">
        <f ca="1">'summary dupont'!B48</f>
        <v>#NAME?</v>
      </c>
      <c r="AA16" s="594"/>
      <c r="AB16" s="594"/>
      <c r="AE16" s="594"/>
      <c r="AG16" s="594"/>
    </row>
    <row r="17" spans="1:33">
      <c r="A17" s="1068" t="s">
        <v>147</v>
      </c>
      <c r="B17" s="1027"/>
      <c r="C17" s="1027"/>
      <c r="D17" s="1027"/>
      <c r="E17" s="1027"/>
      <c r="F17" s="1027"/>
      <c r="G17" s="1027"/>
      <c r="H17" s="1027"/>
      <c r="I17" s="1028"/>
      <c r="J17" s="587"/>
      <c r="K17" s="620"/>
      <c r="AA17" s="594"/>
      <c r="AB17" s="594"/>
      <c r="AE17" s="594"/>
      <c r="AG17" s="594"/>
    </row>
    <row r="18" spans="1:33">
      <c r="A18" s="591" t="s">
        <v>21</v>
      </c>
      <c r="B18" s="1070" t="s">
        <v>329</v>
      </c>
      <c r="C18" s="1027"/>
      <c r="D18" s="1027"/>
      <c r="E18" s="1027"/>
      <c r="F18" s="1027"/>
      <c r="G18" s="1027"/>
      <c r="H18" s="1027"/>
      <c r="I18" s="1028"/>
      <c r="J18" s="587" t="e">
        <f ca="1">T27</f>
        <v>#NAME?</v>
      </c>
      <c r="K18" s="619" t="e">
        <f ca="1">IF(J18=1,"Y","N")</f>
        <v>#NAME?</v>
      </c>
      <c r="L18" s="592" t="e">
        <f ca="1">IF(K18="Y",20,0)</f>
        <v>#NAME?</v>
      </c>
      <c r="M18" s="592">
        <v>20</v>
      </c>
      <c r="N18" s="592">
        <v>0</v>
      </c>
      <c r="AA18" s="594"/>
      <c r="AB18" s="594"/>
      <c r="AE18" s="594"/>
      <c r="AG18" s="594"/>
    </row>
    <row r="19" spans="1:33">
      <c r="A19" s="591" t="s">
        <v>21</v>
      </c>
      <c r="B19" s="1069" t="s">
        <v>333</v>
      </c>
      <c r="C19" s="1027"/>
      <c r="D19" s="1027"/>
      <c r="E19" s="1027"/>
      <c r="F19" s="1027"/>
      <c r="G19" s="1027"/>
      <c r="H19" s="1027"/>
      <c r="I19" s="1028"/>
      <c r="J19" s="587" t="e">
        <f ca="1">T27</f>
        <v>#NAME?</v>
      </c>
      <c r="K19" s="619" t="e">
        <f ca="1">IF(J19=-1,"Y","N")</f>
        <v>#NAME?</v>
      </c>
      <c r="L19" s="592" t="e">
        <f ca="1">IF(K19="Y",-20,0)</f>
        <v>#NAME?</v>
      </c>
      <c r="M19" s="592">
        <v>0</v>
      </c>
      <c r="N19" s="592">
        <v>-20</v>
      </c>
      <c r="AA19" s="594"/>
      <c r="AB19" s="594"/>
      <c r="AE19" s="594"/>
      <c r="AG19" s="594"/>
    </row>
    <row r="20" spans="1:33">
      <c r="A20" s="1068" t="s">
        <v>158</v>
      </c>
      <c r="B20" s="1027"/>
      <c r="C20" s="1027"/>
      <c r="D20" s="1027"/>
      <c r="E20" s="1027"/>
      <c r="F20" s="1027"/>
      <c r="G20" s="1027"/>
      <c r="H20" s="1027"/>
      <c r="I20" s="1028"/>
      <c r="J20" s="587"/>
      <c r="K20" s="620"/>
      <c r="AA20" s="594"/>
      <c r="AB20" s="594"/>
      <c r="AE20" s="594"/>
      <c r="AG20" s="594"/>
    </row>
    <row r="21" spans="1:33">
      <c r="A21" s="590" t="s">
        <v>21</v>
      </c>
      <c r="B21" s="1070" t="s">
        <v>337</v>
      </c>
      <c r="C21" s="1027"/>
      <c r="D21" s="1027"/>
      <c r="E21" s="1027"/>
      <c r="F21" s="1027"/>
      <c r="G21" s="1027"/>
      <c r="H21" s="1027"/>
      <c r="I21" s="1028"/>
      <c r="J21" s="592" t="str">
        <f>Q22&amp;" + "&amp;S22</f>
        <v>62 + -9</v>
      </c>
      <c r="K21" s="619" t="str">
        <f>IF(AND(R21="Y",T21="Y"),"Y","N")</f>
        <v>N</v>
      </c>
      <c r="L21" s="592">
        <f>IF(K21="Y",20,-10)</f>
        <v>-10</v>
      </c>
      <c r="M21" s="592">
        <v>20</v>
      </c>
      <c r="N21" s="592">
        <v>-10</v>
      </c>
      <c r="Q21" s="593">
        <f>ROUNDUP('summary dupont'!E43,0)</f>
        <v>62</v>
      </c>
      <c r="R21" s="592" t="str">
        <f>IF(Q21&gt;=25,"Y","N")</f>
        <v>Y</v>
      </c>
      <c r="S21" s="593">
        <f>ROUNDUP('summary dupont'!H43,0)</f>
        <v>-9</v>
      </c>
      <c r="T21" s="592" t="str">
        <f>IF(S21&gt;=10,"Y","N")</f>
        <v>N</v>
      </c>
      <c r="AA21" s="594"/>
      <c r="AB21" s="594"/>
      <c r="AE21" s="594"/>
      <c r="AG21" s="594"/>
    </row>
    <row r="22" spans="1:33">
      <c r="A22" s="590" t="s">
        <v>21</v>
      </c>
      <c r="B22" s="1070" t="s">
        <v>341</v>
      </c>
      <c r="C22" s="1027"/>
      <c r="D22" s="1027"/>
      <c r="E22" s="1027"/>
      <c r="F22" s="1027"/>
      <c r="G22" s="1027"/>
      <c r="H22" s="1027"/>
      <c r="I22" s="1028"/>
      <c r="J22" s="593" t="e">
        <f ca="1">ROUNDUP(S32,0)</f>
        <v>#VALUE!</v>
      </c>
      <c r="K22" s="619" t="e">
        <f ca="1">IF(J22&gt;=3,"Y","N")</f>
        <v>#VALUE!</v>
      </c>
      <c r="L22" s="592" t="e">
        <f ca="1">IF(K22="Y",10,-10)</f>
        <v>#VALUE!</v>
      </c>
      <c r="M22" s="592">
        <v>10</v>
      </c>
      <c r="N22" s="592">
        <v>-10</v>
      </c>
      <c r="Q22" s="596">
        <f>ROUND(Q21,0)</f>
        <v>62</v>
      </c>
      <c r="S22" s="596">
        <f>ROUND(S21,0)</f>
        <v>-9</v>
      </c>
      <c r="AA22" s="594"/>
      <c r="AB22" s="594"/>
      <c r="AE22" s="594"/>
      <c r="AG22" s="594"/>
    </row>
    <row r="23" spans="1:33">
      <c r="A23" s="590" t="s">
        <v>21</v>
      </c>
      <c r="B23" s="1069" t="s">
        <v>345</v>
      </c>
      <c r="C23" s="1027"/>
      <c r="D23" s="1027"/>
      <c r="E23" s="1027"/>
      <c r="F23" s="1027"/>
      <c r="G23" s="1027"/>
      <c r="H23" s="1027"/>
      <c r="I23" s="1028"/>
      <c r="J23" s="593" t="e">
        <f ca="1">ROUNDUP(momentum!C12*100,0)</f>
        <v>#VALUE!</v>
      </c>
      <c r="K23" s="619" t="e">
        <f ca="1">IF(J23&gt;=55,"Y","N")</f>
        <v>#VALUE!</v>
      </c>
      <c r="L23" s="592" t="e">
        <f ca="1">IF(K23="Y",20,-10)</f>
        <v>#VALUE!</v>
      </c>
      <c r="M23" s="592">
        <v>20</v>
      </c>
      <c r="N23" s="592">
        <v>-10</v>
      </c>
      <c r="AA23" s="594"/>
      <c r="AB23" s="594"/>
      <c r="AE23" s="594"/>
      <c r="AG23" s="594"/>
    </row>
    <row r="24" spans="1:33">
      <c r="A24" s="1068" t="s">
        <v>159</v>
      </c>
      <c r="B24" s="1027"/>
      <c r="C24" s="1027"/>
      <c r="D24" s="1027"/>
      <c r="E24" s="1027"/>
      <c r="F24" s="1027"/>
      <c r="G24" s="1027"/>
      <c r="H24" s="1027"/>
      <c r="I24" s="1028"/>
      <c r="J24" s="587"/>
      <c r="K24" s="620"/>
      <c r="AA24" s="594"/>
      <c r="AB24" s="594"/>
      <c r="AE24" s="594"/>
      <c r="AG24" s="594"/>
    </row>
    <row r="25" spans="1:33">
      <c r="A25" s="591" t="s">
        <v>21</v>
      </c>
      <c r="B25" s="1070" t="s">
        <v>352</v>
      </c>
      <c r="C25" s="1027"/>
      <c r="D25" s="1027"/>
      <c r="E25" s="1027"/>
      <c r="F25" s="1027"/>
      <c r="G25" s="1027"/>
      <c r="H25" s="1027"/>
      <c r="I25" s="1028"/>
      <c r="J25" s="587">
        <f>COUNTA(Z7:Z56)/5</f>
        <v>0.2</v>
      </c>
      <c r="K25" s="619" t="str">
        <f>IF(J25&gt;=2.5,"Y","N")</f>
        <v>N</v>
      </c>
      <c r="L25" s="592">
        <f>IF(K25="Y",10,0)</f>
        <v>0</v>
      </c>
      <c r="M25" s="592">
        <v>10</v>
      </c>
      <c r="N25" s="592">
        <v>0</v>
      </c>
      <c r="AA25" s="594"/>
      <c r="AB25" s="594"/>
      <c r="AE25" s="594"/>
      <c r="AG25" s="594"/>
    </row>
    <row r="26" spans="1:33">
      <c r="A26" s="591" t="s">
        <v>21</v>
      </c>
      <c r="B26" s="1069" t="s">
        <v>356</v>
      </c>
      <c r="C26" s="1027"/>
      <c r="D26" s="1027"/>
      <c r="E26" s="1027"/>
      <c r="F26" s="1027"/>
      <c r="G26" s="1027"/>
      <c r="H26" s="1027"/>
      <c r="I26" s="1028"/>
      <c r="J26" s="593">
        <f>MEDIAN('summary dupont'!W6:W15)</f>
        <v>0.95081272535164896</v>
      </c>
      <c r="K26" s="619" t="str">
        <f>IF(J26&lt;=-0.5,"Y","N")</f>
        <v>N</v>
      </c>
      <c r="L26" s="592">
        <f>IF(K26="Y",10,0)</f>
        <v>0</v>
      </c>
      <c r="M26" s="592">
        <v>10</v>
      </c>
      <c r="N26" s="592">
        <v>0</v>
      </c>
      <c r="T26" s="589" t="e">
        <f t="array" aca="1" ref="T26" ca="1">_xll.BDP(Q29&amp;" equity","gics sub industry name")</f>
        <v>#NAME?</v>
      </c>
      <c r="AA26" s="594"/>
      <c r="AB26" s="594"/>
      <c r="AE26" s="594"/>
      <c r="AG26" s="594"/>
    </row>
    <row r="27" spans="1:33">
      <c r="A27" s="1068" t="s">
        <v>195</v>
      </c>
      <c r="B27" s="1027"/>
      <c r="C27" s="1027"/>
      <c r="D27" s="1027"/>
      <c r="E27" s="1027"/>
      <c r="F27" s="1027"/>
      <c r="G27" s="1027"/>
      <c r="H27" s="1027"/>
      <c r="I27" s="1028"/>
      <c r="J27" s="587"/>
      <c r="K27" s="620"/>
      <c r="T27" s="589" t="e">
        <f ca="1">VLOOKUP(T26,pedigree!B3:C161,2,FALSE)</f>
        <v>#NAME?</v>
      </c>
      <c r="AA27" s="594"/>
      <c r="AB27" s="594"/>
      <c r="AE27" s="594"/>
      <c r="AG27" s="594"/>
    </row>
    <row r="28" spans="1:33">
      <c r="A28" s="591" t="s">
        <v>21</v>
      </c>
      <c r="B28" s="1069" t="s">
        <v>411</v>
      </c>
      <c r="C28" s="1027"/>
      <c r="D28" s="1027"/>
      <c r="E28" s="1027"/>
      <c r="F28" s="1027"/>
      <c r="G28" s="1027"/>
      <c r="H28" s="1027"/>
      <c r="I28" s="1028"/>
      <c r="J28" s="587" t="e">
        <f t="array" aca="1" ref="J28" ca="1">_xll.BDP('gp dupont'!A1&amp;" EQUITY","CRNCY")</f>
        <v>#NAME?</v>
      </c>
      <c r="K28" s="619" t="str">
        <f ca="1">IF(COUNTIF(S5:S11,J28)&gt;0,"Y","N")</f>
        <v>N</v>
      </c>
      <c r="L28" s="592">
        <f ca="1">IF(K28="Y",-10,0)</f>
        <v>0</v>
      </c>
      <c r="M28" s="592">
        <v>0</v>
      </c>
      <c r="N28" s="592">
        <v>-10</v>
      </c>
      <c r="AA28" s="594"/>
      <c r="AB28" s="594"/>
      <c r="AE28" s="594"/>
      <c r="AG28" s="594"/>
    </row>
    <row r="29" spans="1:33">
      <c r="Q29" s="589">
        <f>'summary dupont'!B3</f>
        <v>0</v>
      </c>
      <c r="R29" s="589" t="s">
        <v>435</v>
      </c>
      <c r="AA29" s="594"/>
      <c r="AB29" s="594"/>
      <c r="AE29" s="594"/>
      <c r="AG29" s="594"/>
    </row>
    <row r="30" spans="1:33">
      <c r="L30" s="592"/>
      <c r="Q30" s="593" t="e">
        <f t="array" aca="1" ref="Q30" ca="1">IF(_xll.BDP(Q29&amp;" equity","current ann trr 3yr")="#N/A N/A","",_xll.BDP(Q29&amp;" equity","current ann trr 3yr"))</f>
        <v>#NAME?</v>
      </c>
      <c r="R30" s="593" t="e">
        <f t="array" aca="1" ref="R30" ca="1">_xll.BDP(R29&amp;" equity","current ann trr 3yr")</f>
        <v>#NAME?</v>
      </c>
      <c r="S30" s="596" t="str">
        <f ca="1">IFERROR(Q30-R30,"")</f>
        <v/>
      </c>
      <c r="AA30" s="594"/>
      <c r="AB30" s="594"/>
      <c r="AE30" s="594"/>
      <c r="AG30" s="594"/>
    </row>
    <row r="31" spans="1:33">
      <c r="Q31" s="593" t="e">
        <f t="array" aca="1" ref="Q31" ca="1">IF(_xll.BDP(Q29&amp;" equity","current ann trr 5yr")="#N/A N/A","",_xll.BDP(Q29&amp;" equity","current ann trr 5yr"))</f>
        <v>#NAME?</v>
      </c>
      <c r="R31" s="593" t="e">
        <f t="array" aca="1" ref="R31" ca="1">_xll.BDP(R29&amp;" equity","current ann trr 5yr")</f>
        <v>#NAME?</v>
      </c>
      <c r="S31" s="596" t="str">
        <f ca="1">IFERROR(Q31-R31,"")</f>
        <v/>
      </c>
      <c r="AA31" s="594"/>
      <c r="AE31" s="594"/>
      <c r="AG31" s="594"/>
    </row>
    <row r="32" spans="1:33">
      <c r="L32" s="618">
        <f ca="1">SUMIF(L2:L28,"&lt;0",L2:L28)</f>
        <v>-60</v>
      </c>
      <c r="M32" s="592">
        <f>SUM(N2:N28)</f>
        <v>-170</v>
      </c>
      <c r="N32" s="772">
        <f ca="1">PRODUCT(L32/M32,5)</f>
        <v>1.7647058823529413</v>
      </c>
      <c r="S32" s="596" t="str">
        <f ca="1">IFERROR(AVERAGE(S30:S31),"")</f>
        <v/>
      </c>
      <c r="AA32" s="594"/>
      <c r="AB32" s="594"/>
      <c r="AE32" s="594"/>
      <c r="AG32" s="594"/>
    </row>
    <row r="33" spans="12:33">
      <c r="AA33" s="594"/>
      <c r="AB33" s="594"/>
      <c r="AE33" s="594"/>
      <c r="AG33" s="594"/>
    </row>
    <row r="34" spans="12:33">
      <c r="L34" s="618">
        <f ca="1">SUMIF(L2:L28,"&gt;0",L2:L28)</f>
        <v>100</v>
      </c>
      <c r="M34" s="592">
        <f>SUM(M2:M28)</f>
        <v>270</v>
      </c>
      <c r="N34" s="772">
        <f ca="1">PRODUCT(L34/M34,5)</f>
        <v>1.8518518518518516</v>
      </c>
      <c r="AA34" s="594"/>
      <c r="AB34" s="594"/>
      <c r="AE34" s="594"/>
      <c r="AG34" s="594"/>
    </row>
    <row r="35" spans="12:33">
      <c r="AA35" s="594"/>
      <c r="AB35" s="594"/>
      <c r="AE35" s="594"/>
      <c r="AG35" s="594"/>
    </row>
    <row r="36" spans="12:33">
      <c r="N36" s="773">
        <f ca="1">5-N32+N34</f>
        <v>5.087145969498911</v>
      </c>
      <c r="AA36" s="594"/>
      <c r="AE36" s="594"/>
      <c r="AG36" s="594"/>
    </row>
    <row r="37" spans="12:33">
      <c r="AA37" s="594"/>
      <c r="AE37" s="594"/>
      <c r="AG37" s="594"/>
    </row>
    <row r="38" spans="12:33">
      <c r="AA38" s="594"/>
      <c r="AE38" s="594"/>
      <c r="AG38" s="594"/>
    </row>
    <row r="39" spans="12:33">
      <c r="AA39" s="594"/>
      <c r="AE39" s="594"/>
      <c r="AG39" s="594"/>
    </row>
    <row r="40" spans="12:33">
      <c r="AA40" s="594"/>
      <c r="AE40" s="594"/>
      <c r="AG40" s="594"/>
    </row>
    <row r="41" spans="12:33">
      <c r="AA41" s="594"/>
      <c r="AB41" s="594"/>
      <c r="AE41" s="594"/>
      <c r="AG41" s="594"/>
    </row>
    <row r="42" spans="12:33">
      <c r="Q42" s="596">
        <f>'gp dupont'!C20</f>
        <v>39.825699999999998</v>
      </c>
      <c r="AA42" s="594"/>
      <c r="AE42" s="594"/>
      <c r="AG42" s="594"/>
    </row>
    <row r="43" spans="12:33">
      <c r="Q43" s="596">
        <f>'gp dupont'!C21</f>
        <v>43.779600000000002</v>
      </c>
      <c r="R43" s="597">
        <f t="shared" ref="R43:R52" si="0">(Q43-Q42)/Q42</f>
        <v>9.9280113092802005E-2</v>
      </c>
      <c r="S43" s="774">
        <v>0.1</v>
      </c>
      <c r="T43" s="597">
        <f t="shared" ref="T43:T52" si="1">PRODUCT(R43:S43)</f>
        <v>9.9280113092802009E-3</v>
      </c>
      <c r="AA43" s="594"/>
      <c r="AE43" s="594"/>
      <c r="AG43" s="594"/>
    </row>
    <row r="44" spans="12:33">
      <c r="Q44" s="596">
        <f>'gp dupont'!C22</f>
        <v>48.807899999999997</v>
      </c>
      <c r="R44" s="597">
        <f t="shared" si="0"/>
        <v>0.11485486390921786</v>
      </c>
      <c r="S44" s="774">
        <v>0.2</v>
      </c>
      <c r="T44" s="597">
        <f t="shared" si="1"/>
        <v>2.2970972781843572E-2</v>
      </c>
      <c r="AA44" s="594"/>
      <c r="AB44" s="594"/>
      <c r="AE44" s="594"/>
      <c r="AG44" s="594"/>
    </row>
    <row r="45" spans="12:33">
      <c r="Q45" s="596">
        <f>'gp dupont'!C23</f>
        <v>51.010599999999997</v>
      </c>
      <c r="R45" s="597">
        <f t="shared" si="0"/>
        <v>4.5129989202567625E-2</v>
      </c>
      <c r="S45" s="774">
        <v>0.3</v>
      </c>
      <c r="T45" s="597">
        <f t="shared" si="1"/>
        <v>1.3538996760770286E-2</v>
      </c>
      <c r="AA45" s="594"/>
      <c r="AE45" s="594"/>
      <c r="AG45" s="594"/>
    </row>
    <row r="46" spans="12:33">
      <c r="Q46" s="596">
        <f>'gp dupont'!C24</f>
        <v>57.124400000000001</v>
      </c>
      <c r="R46" s="597">
        <f t="shared" si="0"/>
        <v>0.11985352064080809</v>
      </c>
      <c r="S46" s="774">
        <v>0.4</v>
      </c>
      <c r="T46" s="597">
        <f t="shared" si="1"/>
        <v>4.7941408256323238E-2</v>
      </c>
      <c r="AA46" s="594"/>
      <c r="AE46" s="594"/>
      <c r="AG46" s="594"/>
    </row>
    <row r="47" spans="12:33">
      <c r="Q47" s="596">
        <f>'gp dupont'!C25</f>
        <v>56.822400000000002</v>
      </c>
      <c r="R47" s="597">
        <f t="shared" si="0"/>
        <v>-5.2867076065569105E-3</v>
      </c>
      <c r="S47" s="774">
        <v>0.5</v>
      </c>
      <c r="T47" s="597">
        <f t="shared" si="1"/>
        <v>-2.6433538032784552E-3</v>
      </c>
      <c r="AA47" s="594"/>
      <c r="AE47" s="594"/>
      <c r="AG47" s="594"/>
    </row>
    <row r="48" spans="12:33">
      <c r="Q48" s="596">
        <f>'gp dupont'!C26</f>
        <v>55.813800000000001</v>
      </c>
      <c r="R48" s="597">
        <f t="shared" si="0"/>
        <v>-1.7750042236864359E-2</v>
      </c>
      <c r="S48" s="774">
        <v>0.6</v>
      </c>
      <c r="T48" s="597">
        <f t="shared" si="1"/>
        <v>-1.0650025342118615E-2</v>
      </c>
      <c r="AA48" s="594"/>
      <c r="AB48" s="594"/>
      <c r="AE48" s="594"/>
      <c r="AG48" s="594"/>
    </row>
    <row r="49" spans="17:33">
      <c r="Q49" s="596">
        <f>'gp dupont'!C27</f>
        <v>59.629399999999997</v>
      </c>
      <c r="R49" s="597">
        <f t="shared" si="0"/>
        <v>6.8363021331641932E-2</v>
      </c>
      <c r="S49" s="774">
        <v>0.7</v>
      </c>
      <c r="T49" s="597">
        <f t="shared" si="1"/>
        <v>4.7854114932149347E-2</v>
      </c>
      <c r="AA49" s="594"/>
      <c r="AE49" s="594"/>
      <c r="AG49" s="594"/>
    </row>
    <row r="50" spans="17:33">
      <c r="Q50" s="596">
        <f>'gp dupont'!C28</f>
        <v>59.632199999999997</v>
      </c>
      <c r="R50" s="597">
        <f t="shared" si="0"/>
        <v>4.6956702566193518E-5</v>
      </c>
      <c r="S50" s="774">
        <v>0.8</v>
      </c>
      <c r="T50" s="597">
        <f t="shared" si="1"/>
        <v>3.756536205295482E-5</v>
      </c>
      <c r="AA50" s="594"/>
      <c r="AE50" s="594"/>
      <c r="AG50" s="594"/>
    </row>
    <row r="51" spans="17:33">
      <c r="Q51" s="596">
        <f>'gp dupont'!C29</f>
        <v>61.293599999999998</v>
      </c>
      <c r="R51" s="597">
        <f t="shared" si="0"/>
        <v>2.7860786621992824E-2</v>
      </c>
      <c r="S51" s="774">
        <v>0.9</v>
      </c>
      <c r="T51" s="597">
        <f t="shared" si="1"/>
        <v>2.5074707959793541E-2</v>
      </c>
      <c r="AA51" s="594"/>
      <c r="AE51" s="594"/>
      <c r="AG51" s="594"/>
    </row>
    <row r="52" spans="17:33">
      <c r="Q52" s="596">
        <f>'gp dupont'!C30</f>
        <v>64.918400000000005</v>
      </c>
      <c r="R52" s="597">
        <f t="shared" si="0"/>
        <v>5.913831134082527E-2</v>
      </c>
      <c r="S52" s="774">
        <v>1</v>
      </c>
      <c r="T52" s="597">
        <f t="shared" si="1"/>
        <v>5.913831134082527E-2</v>
      </c>
      <c r="AA52" s="594"/>
      <c r="AE52" s="594"/>
      <c r="AG52" s="594"/>
    </row>
    <row r="53" spans="17:33">
      <c r="T53" s="691">
        <f>AVERAGE(T43:T52)</f>
        <v>2.1319070955764137E-2</v>
      </c>
      <c r="AA53" s="594"/>
      <c r="AE53" s="594"/>
      <c r="AG53" s="594"/>
    </row>
    <row r="54" spans="17:33">
      <c r="AA54" s="594"/>
      <c r="AB54" s="594"/>
      <c r="AE54" s="594"/>
      <c r="AG54" s="594"/>
    </row>
    <row r="55" spans="17:33">
      <c r="AA55" s="594"/>
      <c r="AE55" s="594"/>
      <c r="AG55" s="594"/>
    </row>
    <row r="56" spans="17:33">
      <c r="AA56" s="594"/>
      <c r="AE56" s="594"/>
      <c r="AG56" s="594"/>
    </row>
    <row r="57" spans="17:33">
      <c r="AA57" s="594"/>
      <c r="AE57" s="594"/>
      <c r="AG57" s="594"/>
    </row>
    <row r="58" spans="17:33">
      <c r="AA58" s="594"/>
      <c r="AE58" s="594"/>
      <c r="AG58" s="594"/>
    </row>
    <row r="59" spans="17:33">
      <c r="AA59" s="594"/>
      <c r="AE59" s="594"/>
      <c r="AG59" s="594"/>
    </row>
    <row r="60" spans="17:33">
      <c r="AA60" s="594"/>
      <c r="AE60" s="594"/>
      <c r="AG60" s="594"/>
    </row>
    <row r="61" spans="17:33">
      <c r="AA61" s="594"/>
      <c r="AB61" s="594"/>
      <c r="AE61" s="594"/>
      <c r="AG61" s="594"/>
    </row>
    <row r="62" spans="17:33">
      <c r="AA62" s="594"/>
      <c r="AE62" s="594"/>
      <c r="AG62" s="594"/>
    </row>
    <row r="63" spans="17:33">
      <c r="AA63" s="594"/>
      <c r="AE63" s="594"/>
      <c r="AG63" s="594"/>
    </row>
    <row r="64" spans="17:33">
      <c r="AA64" s="594"/>
      <c r="AB64" s="594"/>
      <c r="AE64" s="594"/>
      <c r="AG64" s="594"/>
    </row>
    <row r="65" spans="27:33">
      <c r="AA65" s="594"/>
      <c r="AE65" s="594"/>
      <c r="AG65" s="594"/>
    </row>
    <row r="66" spans="27:33">
      <c r="AA66" s="594"/>
      <c r="AE66" s="594"/>
      <c r="AG66" s="594"/>
    </row>
    <row r="67" spans="27:33">
      <c r="AA67" s="594"/>
      <c r="AE67" s="594"/>
      <c r="AG67" s="594"/>
    </row>
    <row r="68" spans="27:33">
      <c r="AA68" s="594"/>
      <c r="AB68" s="594"/>
      <c r="AE68" s="594"/>
      <c r="AG68" s="594"/>
    </row>
    <row r="69" spans="27:33">
      <c r="AA69" s="594"/>
      <c r="AE69" s="594"/>
      <c r="AG69" s="594"/>
    </row>
    <row r="70" spans="27:33">
      <c r="AA70" s="594"/>
      <c r="AB70" s="594"/>
      <c r="AE70" s="594"/>
      <c r="AG70" s="594"/>
    </row>
    <row r="71" spans="27:33">
      <c r="AA71" s="594"/>
      <c r="AE71" s="594"/>
      <c r="AG71" s="594"/>
    </row>
    <row r="72" spans="27:33">
      <c r="AA72" s="594"/>
      <c r="AB72" s="594"/>
      <c r="AE72" s="594"/>
      <c r="AG72" s="594"/>
    </row>
    <row r="73" spans="27:33">
      <c r="AA73" s="594"/>
      <c r="AB73" s="594"/>
      <c r="AE73" s="594"/>
      <c r="AG73" s="594"/>
    </row>
    <row r="74" spans="27:33">
      <c r="AA74" s="594"/>
      <c r="AB74" s="594"/>
      <c r="AE74" s="594"/>
      <c r="AG74" s="594"/>
    </row>
    <row r="75" spans="27:33">
      <c r="AA75" s="594"/>
      <c r="AE75" s="594"/>
      <c r="AG75" s="594"/>
    </row>
    <row r="76" spans="27:33">
      <c r="AA76" s="594"/>
      <c r="AE76" s="594"/>
      <c r="AG76" s="594"/>
    </row>
    <row r="77" spans="27:33">
      <c r="AA77" s="594"/>
      <c r="AE77" s="594"/>
      <c r="AG77" s="594"/>
    </row>
    <row r="78" spans="27:33">
      <c r="AA78" s="594"/>
      <c r="AE78" s="594"/>
      <c r="AG78" s="594"/>
    </row>
    <row r="79" spans="27:33">
      <c r="AA79" s="594"/>
      <c r="AE79" s="594"/>
      <c r="AG79" s="594"/>
    </row>
    <row r="80" spans="27:33">
      <c r="AA80" s="594"/>
      <c r="AE80" s="594"/>
      <c r="AG80" s="594"/>
    </row>
    <row r="81" spans="27:33">
      <c r="AA81" s="594"/>
      <c r="AB81" s="594"/>
      <c r="AE81" s="594"/>
      <c r="AG81" s="594"/>
    </row>
    <row r="82" spans="27:33">
      <c r="AA82" s="594"/>
      <c r="AB82" s="594"/>
      <c r="AE82" s="594"/>
      <c r="AG82" s="594"/>
    </row>
    <row r="83" spans="27:33">
      <c r="AA83" s="594"/>
      <c r="AE83" s="594"/>
      <c r="AG83" s="594"/>
    </row>
    <row r="84" spans="27:33">
      <c r="AA84" s="594"/>
      <c r="AE84" s="594"/>
      <c r="AG84" s="594"/>
    </row>
    <row r="85" spans="27:33">
      <c r="AA85" s="594"/>
      <c r="AE85" s="594"/>
      <c r="AG85" s="594"/>
    </row>
    <row r="86" spans="27:33">
      <c r="AA86" s="594"/>
      <c r="AE86" s="594"/>
      <c r="AG86" s="594"/>
    </row>
    <row r="87" spans="27:33">
      <c r="AA87" s="594"/>
      <c r="AE87" s="594"/>
      <c r="AG87" s="594"/>
    </row>
    <row r="88" spans="27:33">
      <c r="AA88" s="594"/>
      <c r="AB88" s="594"/>
      <c r="AE88" s="594"/>
      <c r="AG88" s="594"/>
    </row>
    <row r="89" spans="27:33">
      <c r="AA89" s="594"/>
      <c r="AE89" s="594"/>
      <c r="AG89" s="594"/>
    </row>
    <row r="90" spans="27:33">
      <c r="AA90" s="594"/>
      <c r="AE90" s="594"/>
      <c r="AG90" s="594"/>
    </row>
    <row r="91" spans="27:33">
      <c r="AA91" s="594"/>
      <c r="AE91" s="594"/>
    </row>
    <row r="92" spans="27:33">
      <c r="AA92" s="594"/>
      <c r="AE92" s="594"/>
    </row>
    <row r="93" spans="27:33">
      <c r="AA93" s="594"/>
      <c r="AB93" s="594"/>
      <c r="AE93" s="594"/>
    </row>
    <row r="94" spans="27:33">
      <c r="AA94" s="594"/>
      <c r="AE94" s="594"/>
    </row>
    <row r="95" spans="27:33">
      <c r="AA95" s="594"/>
      <c r="AB95" s="594"/>
      <c r="AE95" s="594"/>
    </row>
    <row r="96" spans="27:33">
      <c r="AA96" s="594"/>
      <c r="AE96" s="594"/>
    </row>
    <row r="97" spans="27:31">
      <c r="AA97" s="594"/>
      <c r="AE97" s="594"/>
    </row>
    <row r="98" spans="27:31">
      <c r="AA98" s="594"/>
      <c r="AB98" s="594"/>
      <c r="AE98" s="594"/>
    </row>
    <row r="99" spans="27:31">
      <c r="AA99" s="594"/>
      <c r="AE99" s="594"/>
    </row>
    <row r="100" spans="27:31">
      <c r="AA100" s="594"/>
      <c r="AB100" s="594"/>
      <c r="AE100" s="594"/>
    </row>
  </sheetData>
  <mergeCells count="28">
    <mergeCell ref="B3:I3"/>
    <mergeCell ref="A27:I27"/>
    <mergeCell ref="B22:I22"/>
    <mergeCell ref="B18:I18"/>
    <mergeCell ref="B12:I12"/>
    <mergeCell ref="B21:I21"/>
    <mergeCell ref="A5:I5"/>
    <mergeCell ref="B10:I10"/>
    <mergeCell ref="B6:I6"/>
    <mergeCell ref="B7:I7"/>
    <mergeCell ref="B25:I25"/>
    <mergeCell ref="B16:I16"/>
    <mergeCell ref="A1:I1"/>
    <mergeCell ref="B4:I4"/>
    <mergeCell ref="B26:I26"/>
    <mergeCell ref="B28:I28"/>
    <mergeCell ref="A9:I9"/>
    <mergeCell ref="B19:I19"/>
    <mergeCell ref="A24:I24"/>
    <mergeCell ref="A15:I15"/>
    <mergeCell ref="A11:I11"/>
    <mergeCell ref="B2:I2"/>
    <mergeCell ref="A17:I17"/>
    <mergeCell ref="B14:I14"/>
    <mergeCell ref="B23:I23"/>
    <mergeCell ref="B8:I8"/>
    <mergeCell ref="A20:I20"/>
    <mergeCell ref="B13:I13"/>
  </mergeCells>
  <conditionalFormatting sqref="K2:K18 K20:K27">
    <cfRule type="containsText" dxfId="153" priority="3" operator="containsText" text="Y">
      <formula>NOT(ISERROR(SEARCH("Y",K2)))</formula>
    </cfRule>
  </conditionalFormatting>
  <conditionalFormatting sqref="K19">
    <cfRule type="containsText" dxfId="152" priority="2" operator="containsText" text="N">
      <formula>NOT(ISERROR(SEARCH("N",K19)))</formula>
    </cfRule>
  </conditionalFormatting>
  <conditionalFormatting sqref="K28">
    <cfRule type="containsText" dxfId="151" priority="1" operator="containsText" text="N">
      <formula>NOT(ISERROR(SEARCH("N",K28)))</formula>
    </cfRule>
  </conditionalFormatting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EB114"/>
  <sheetViews>
    <sheetView zoomScale="70" zoomScaleNormal="70" zoomScaleSheetLayoutView="70" workbookViewId="0">
      <selection activeCell="AE46" sqref="AE46"/>
    </sheetView>
  </sheetViews>
  <sheetFormatPr baseColWidth="10" defaultColWidth="8.83203125" defaultRowHeight="15" outlineLevelRow="1" outlineLevelCol="1"/>
  <cols>
    <col min="1" max="1" width="14.33203125" customWidth="1"/>
    <col min="2" max="2" width="12.33203125" customWidth="1"/>
    <col min="3" max="10" width="9.33203125" customWidth="1"/>
    <col min="11" max="11" width="9.6640625" customWidth="1"/>
    <col min="12" max="12" width="10.33203125" customWidth="1"/>
    <col min="13" max="18" width="9.33203125" customWidth="1"/>
    <col min="19" max="19" width="11.5" customWidth="1"/>
    <col min="20" max="20" width="11.6640625" customWidth="1"/>
    <col min="21" max="23" width="9.33203125" customWidth="1"/>
    <col min="24" max="24" width="10.33203125" customWidth="1"/>
    <col min="25" max="25" width="9.33203125" customWidth="1"/>
    <col min="26" max="26" width="11.1640625" customWidth="1"/>
    <col min="27" max="27" width="9.33203125" customWidth="1"/>
    <col min="28" max="28" width="10.1640625" customWidth="1"/>
    <col min="29" max="29" width="10.33203125" customWidth="1"/>
    <col min="30" max="30" width="11.1640625" customWidth="1"/>
    <col min="31" max="31" width="13.33203125" customWidth="1"/>
    <col min="32" max="32" width="11.5" customWidth="1"/>
    <col min="33" max="33" width="12.33203125" customWidth="1"/>
    <col min="34" max="36" width="9.33203125" customWidth="1"/>
    <col min="37" max="37" width="9.83203125" customWidth="1"/>
    <col min="38" max="38" width="10.83203125" customWidth="1"/>
    <col min="39" max="39" width="10.33203125" customWidth="1"/>
    <col min="40" max="40" width="9.5" customWidth="1"/>
    <col min="41" max="41" width="10.1640625" customWidth="1"/>
    <col min="42" max="42" width="10.33203125" customWidth="1"/>
    <col min="43" max="44" width="9.33203125" customWidth="1"/>
    <col min="45" max="45" width="10" customWidth="1"/>
    <col min="46" max="46" width="9.1640625" customWidth="1"/>
    <col min="47" max="47" width="8.5" customWidth="1" outlineLevel="1"/>
    <col min="48" max="49" width="9.5" customWidth="1" outlineLevel="1"/>
    <col min="50" max="50" width="9.33203125" customWidth="1" outlineLevel="1"/>
    <col min="51" max="51" width="13.33203125" customWidth="1" outlineLevel="1"/>
    <col min="52" max="52" width="11.1640625" customWidth="1" outlineLevel="1"/>
    <col min="53" max="53" width="11.5" customWidth="1" outlineLevel="1"/>
    <col min="54" max="54" width="12.6640625" customWidth="1" outlineLevel="1"/>
    <col min="55" max="55" width="10.83203125" customWidth="1" outlineLevel="1"/>
    <col min="56" max="56" width="10.1640625" customWidth="1" outlineLevel="1"/>
    <col min="57" max="58" width="9.1640625" customWidth="1" outlineLevel="1"/>
    <col min="59" max="59" width="19.5" customWidth="1" outlineLevel="1"/>
    <col min="60" max="62" width="9.1640625" customWidth="1" outlineLevel="1"/>
    <col min="63" max="63" width="10.6640625" customWidth="1" outlineLevel="1"/>
    <col min="64" max="64" width="11.33203125" customWidth="1" outlineLevel="1"/>
    <col min="65" max="65" width="10.5" customWidth="1" outlineLevel="1"/>
    <col min="66" max="66" width="11.33203125" customWidth="1" outlineLevel="1"/>
    <col min="67" max="67" width="13.5" customWidth="1" outlineLevel="1"/>
    <col min="68" max="68" width="11.33203125" customWidth="1" outlineLevel="1"/>
    <col min="69" max="69" width="9.1640625" customWidth="1" outlineLevel="1"/>
    <col min="70" max="70" width="11.33203125" customWidth="1" outlineLevel="1"/>
    <col min="71" max="71" width="9.1640625" customWidth="1" outlineLevel="1"/>
    <col min="72" max="72" width="18.5" customWidth="1" outlineLevel="1"/>
    <col min="73" max="76" width="11.33203125" customWidth="1" outlineLevel="1"/>
    <col min="77" max="77" width="10.33203125" customWidth="1" outlineLevel="1"/>
    <col min="78" max="78" width="9.1640625" customWidth="1" outlineLevel="1"/>
    <col min="79" max="79" width="10.33203125" customWidth="1" outlineLevel="1"/>
    <col min="80" max="80" width="12" customWidth="1" outlineLevel="1"/>
    <col min="81" max="99" width="9.1640625" customWidth="1" outlineLevel="1"/>
    <col min="100" max="100" width="10.5" customWidth="1" outlineLevel="1"/>
    <col min="101" max="106" width="9.1640625" customWidth="1" outlineLevel="1"/>
    <col min="107" max="107" width="10.6640625" customWidth="1" outlineLevel="1"/>
    <col min="108" max="113" width="9.1640625" customWidth="1" outlineLevel="1"/>
    <col min="114" max="114" width="11.5" customWidth="1" outlineLevel="1"/>
    <col min="115" max="121" width="9.1640625" customWidth="1" outlineLevel="1"/>
    <col min="122" max="122" width="11.5" customWidth="1" outlineLevel="1"/>
    <col min="123" max="130" width="9.1640625" customWidth="1" outlineLevel="1"/>
    <col min="131" max="131" width="9.1640625" customWidth="1"/>
  </cols>
  <sheetData>
    <row r="1" spans="1:130" ht="22" customHeight="1" thickBot="1">
      <c r="A1" s="305">
        <f>'summary dupont'!B3</f>
        <v>0</v>
      </c>
      <c r="B1" s="95"/>
      <c r="C1" s="96" t="e">
        <f ca="1">IF(B3&gt;10000,"BLUE CHIP","")</f>
        <v>#NAME?</v>
      </c>
      <c r="D1" s="17"/>
      <c r="E1" s="86" t="e">
        <f ca="1">_xll.BDS($BD$1,"CIE Des Bulk","cols=1;rows=5")</f>
        <v>#NAME?</v>
      </c>
      <c r="F1" s="97"/>
      <c r="G1" s="97"/>
      <c r="H1" s="97"/>
      <c r="I1" s="97"/>
      <c r="J1" s="97"/>
      <c r="K1" s="97"/>
      <c r="L1" s="97"/>
      <c r="M1" s="97"/>
      <c r="N1" s="17"/>
      <c r="O1" s="86" t="e">
        <f t="array" aca="1" ref="O1" ca="1">_xll.BDP(BD1,"GICS_SECTOR_NAME")</f>
        <v>#NAME?</v>
      </c>
      <c r="Q1" s="97"/>
      <c r="R1" s="97"/>
      <c r="T1" s="86" t="e">
        <f t="array" aca="1" ref="T1" ca="1">_xll.BDP(BD1,"Industry Sector")</f>
        <v>#NAME?</v>
      </c>
      <c r="V1" s="97"/>
      <c r="X1" s="86" t="s">
        <v>436</v>
      </c>
      <c r="Z1" s="1072" t="e">
        <f t="array" aca="1" ref="Z1" ca="1">IF(LEFT(_xll.BDP(BD1,"ud gp shares owned"),1)="#","-",_xll.BDP(BD1,"ud gp shares owned"))</f>
        <v>#NAME?</v>
      </c>
      <c r="AA1" s="1073"/>
      <c r="AC1" s="86" t="s">
        <v>437</v>
      </c>
      <c r="AE1" s="775" t="str">
        <f t="array" aca="1" ref="AE1" ca="1">IFERROR(Z1/_xll.BDP(BD1,"EQY_SH_OUT_ACTUAL")*100,"-")</f>
        <v>-</v>
      </c>
      <c r="AG1" s="86" t="s">
        <v>438</v>
      </c>
      <c r="AH1" s="1072" t="e">
        <f t="array" aca="1" ref="AH1" ca="1">_xll.BDP(BD1,"volume avg 30d")*1</f>
        <v>#NAME?</v>
      </c>
      <c r="AI1" s="1073"/>
      <c r="AK1" s="86" t="e">
        <f ca="1">_xll.BDS(BD1,"company address","cols=1;rows=3")</f>
        <v>#NAME?</v>
      </c>
      <c r="AL1" s="86"/>
      <c r="AM1" s="86"/>
      <c r="AN1" s="86"/>
      <c r="AO1" s="86" t="e">
        <f ca="1">PROPER(CZ1)</f>
        <v>#NAME?</v>
      </c>
      <c r="AP1" s="86"/>
      <c r="AQ1" s="86"/>
      <c r="AR1" s="86"/>
      <c r="AS1" s="86"/>
      <c r="AT1" s="39"/>
      <c r="BD1" s="447" t="str">
        <f>A1&amp;" Equity"</f>
        <v>0 Equity</v>
      </c>
      <c r="BE1" s="448"/>
      <c r="BF1" s="448" t="s">
        <v>439</v>
      </c>
      <c r="BG1" s="424" t="s">
        <v>440</v>
      </c>
      <c r="BH1" s="448"/>
      <c r="BI1" s="448" t="s">
        <v>441</v>
      </c>
      <c r="BJ1" s="776" t="e">
        <f ca="1">DATE(YEAR(BJ2)-16,MONTH(BJ2),DAY(BJ2))</f>
        <v>#NAME?</v>
      </c>
      <c r="BK1" s="448"/>
      <c r="BL1" s="424" t="s">
        <v>442</v>
      </c>
      <c r="BM1" s="424" t="s">
        <v>443</v>
      </c>
      <c r="BN1" s="424" t="s">
        <v>444</v>
      </c>
      <c r="BO1" s="424" t="s">
        <v>445</v>
      </c>
      <c r="BP1" s="424" t="s">
        <v>446</v>
      </c>
      <c r="BQ1" s="424" t="s">
        <v>447</v>
      </c>
      <c r="BR1" s="424" t="s">
        <v>448</v>
      </c>
      <c r="BS1" s="424" t="s">
        <v>449</v>
      </c>
      <c r="BT1" s="424" t="s">
        <v>450</v>
      </c>
      <c r="BU1" s="424" t="s">
        <v>451</v>
      </c>
      <c r="BV1" s="424" t="s">
        <v>452</v>
      </c>
      <c r="BW1" s="424" t="s">
        <v>453</v>
      </c>
      <c r="BX1" s="424" t="s">
        <v>454</v>
      </c>
      <c r="BY1" s="424" t="s">
        <v>455</v>
      </c>
      <c r="BZ1" s="424" t="s">
        <v>456</v>
      </c>
      <c r="CA1" s="424" t="s">
        <v>457</v>
      </c>
      <c r="CB1" s="424" t="s">
        <v>458</v>
      </c>
      <c r="CC1" s="424" t="s">
        <v>3</v>
      </c>
      <c r="CD1" s="475"/>
      <c r="CE1" s="476" t="s">
        <v>459</v>
      </c>
      <c r="CF1" s="447"/>
      <c r="CG1" s="448" t="s">
        <v>460</v>
      </c>
      <c r="CH1" s="448"/>
      <c r="CI1" s="448"/>
      <c r="CJ1" s="448"/>
      <c r="CK1" s="448" t="s">
        <v>461</v>
      </c>
      <c r="CL1" s="448" t="s">
        <v>462</v>
      </c>
      <c r="CM1" s="448"/>
      <c r="CN1" s="448"/>
      <c r="CO1" s="448"/>
      <c r="CP1" s="448"/>
      <c r="CQ1" s="448"/>
      <c r="CR1" s="448"/>
      <c r="CS1" s="448"/>
      <c r="CT1" s="448"/>
      <c r="CU1" s="448"/>
      <c r="CV1" s="448"/>
      <c r="CW1" s="448"/>
      <c r="CX1" s="424" t="e">
        <f t="array" aca="1" ref="CX1" ca="1">_xll.BDP($BD$1,"UD_ON_SITE")</f>
        <v>#NAME?</v>
      </c>
      <c r="CY1" s="472"/>
      <c r="CZ1" s="447" t="e">
        <f ca="1">_xll.BDS(BD1,"company exec officers","StartRow","1","EndRow","5","cols=1;rows=5")</f>
        <v>#NAME?</v>
      </c>
      <c r="DA1" s="448"/>
      <c r="DB1" s="448"/>
      <c r="DC1" s="448"/>
      <c r="DD1" s="448"/>
      <c r="DE1" s="472"/>
    </row>
    <row r="2" spans="1:130" ht="16" customHeight="1" thickBot="1">
      <c r="A2" s="94" t="e">
        <f ca="1">_xll.BDP($BD$1,"long comp name")</f>
        <v>#NAME?</v>
      </c>
      <c r="B2" s="98"/>
      <c r="C2" s="98"/>
      <c r="D2" s="17" t="s">
        <v>463</v>
      </c>
      <c r="E2" s="86" t="s">
        <v>464</v>
      </c>
      <c r="F2" s="97"/>
      <c r="G2" s="97"/>
      <c r="H2" s="97"/>
      <c r="I2" s="97"/>
      <c r="J2" s="97"/>
      <c r="K2" s="97"/>
      <c r="L2" s="97"/>
      <c r="M2" s="97"/>
      <c r="N2" s="17"/>
      <c r="O2" s="86" t="e">
        <f t="array" aca="1" ref="O2" ca="1">_xll.BDP(BD1,"GICS_INDUSTRY_GROUP_NAME")</f>
        <v>#NAME?</v>
      </c>
      <c r="Q2" s="97"/>
      <c r="R2" s="97"/>
      <c r="T2" s="86" t="e">
        <f t="array" aca="1" ref="T2" ca="1">_xll.BDP(BD1,"Industry Group")</f>
        <v>#NAME?</v>
      </c>
      <c r="V2" s="97"/>
      <c r="X2" s="86" t="s">
        <v>465</v>
      </c>
      <c r="Z2" s="1072" t="e">
        <f t="array" aca="1" ref="Z2" ca="1">IF(LEFT(_xll.BDP(BD1,"ud rd shares owned"),1)="#","-",_xll.BDP(BD1,"ud rd shares owned"))</f>
        <v>#NAME?</v>
      </c>
      <c r="AA2" s="1073"/>
      <c r="AC2" s="86" t="s">
        <v>466</v>
      </c>
      <c r="AE2" s="775" t="str">
        <f ca="1">IFERROR(Z1/AH3,"-")</f>
        <v>-</v>
      </c>
      <c r="AG2" s="86" t="s">
        <v>467</v>
      </c>
      <c r="AH2" s="1076" t="e">
        <f ca="1">BG3*AH1</f>
        <v>#NAME?</v>
      </c>
      <c r="AI2" s="1073"/>
      <c r="AK2" s="86" t="s">
        <v>468</v>
      </c>
      <c r="AL2" s="86"/>
      <c r="AM2" s="86"/>
      <c r="AN2" s="86"/>
      <c r="AO2" s="86" t="str">
        <f>PROPER(CZ2)</f>
        <v>Rene Hendriks,  Svp:Sales Europe/North America</v>
      </c>
      <c r="AP2" s="86"/>
      <c r="AQ2" s="86"/>
      <c r="AR2" s="86"/>
      <c r="AS2" s="86"/>
      <c r="AT2" s="39"/>
      <c r="BD2" s="449" t="e">
        <f t="array" aca="1" ref="BD2" ca="1">_xll.BDP(BD1,"ticker")</f>
        <v>#NAME?</v>
      </c>
      <c r="BE2" s="45"/>
      <c r="BF2" s="45" t="s">
        <v>469</v>
      </c>
      <c r="BG2" s="215">
        <v>15</v>
      </c>
      <c r="BH2" s="45"/>
      <c r="BI2" s="45" t="s">
        <v>470</v>
      </c>
      <c r="BJ2" s="777" t="e">
        <f t="array" aca="1" ref="BJ2" ca="1">_xll.BTODAY()</f>
        <v>#NAME?</v>
      </c>
      <c r="BK2" s="45"/>
      <c r="BL2" s="684">
        <v>337000000</v>
      </c>
      <c r="BM2" s="684"/>
      <c r="BN2" s="684">
        <v>56000000</v>
      </c>
      <c r="BO2" s="684">
        <v>1330000000</v>
      </c>
      <c r="BP2" s="684">
        <v>32000000</v>
      </c>
      <c r="BQ2" s="684">
        <v>961000000</v>
      </c>
      <c r="BR2" s="684">
        <v>572000000</v>
      </c>
      <c r="BS2" s="684">
        <v>142000000</v>
      </c>
      <c r="BT2" s="684">
        <v>320000000</v>
      </c>
      <c r="BU2" s="684"/>
      <c r="BV2" s="684">
        <v>3243000000</v>
      </c>
      <c r="BW2" s="45"/>
      <c r="BX2" s="215">
        <v>65000000</v>
      </c>
      <c r="BY2" s="684"/>
      <c r="BZ2" s="684">
        <v>272000000</v>
      </c>
      <c r="CA2" s="684">
        <v>29000000</v>
      </c>
      <c r="CB2" s="45"/>
      <c r="CC2" s="778">
        <v>44228</v>
      </c>
      <c r="CD2" s="436"/>
      <c r="CE2" s="477" t="s">
        <v>471</v>
      </c>
      <c r="CF2" s="449"/>
      <c r="CG2" s="215">
        <v>1</v>
      </c>
      <c r="CH2" s="215">
        <v>2</v>
      </c>
      <c r="CI2" s="215">
        <v>3</v>
      </c>
      <c r="CJ2" s="215">
        <v>4</v>
      </c>
      <c r="CK2" s="215">
        <v>5</v>
      </c>
      <c r="CL2" s="215">
        <v>6</v>
      </c>
      <c r="CM2" s="215">
        <v>7</v>
      </c>
      <c r="CN2" s="215">
        <v>8</v>
      </c>
      <c r="CO2" s="215">
        <v>9</v>
      </c>
      <c r="CP2" s="215">
        <v>10</v>
      </c>
      <c r="CQ2" s="215">
        <v>11</v>
      </c>
      <c r="CR2" s="215">
        <v>12</v>
      </c>
      <c r="CS2" s="215">
        <v>13</v>
      </c>
      <c r="CT2" s="215">
        <v>14</v>
      </c>
      <c r="CU2" s="45"/>
      <c r="CV2" s="45"/>
      <c r="CW2" s="45"/>
      <c r="CX2" s="215" t="e">
        <f t="array" aca="1" ref="CX2" ca="1">_xll.BDP($BD$1,"UD_MGMT_1X1")</f>
        <v>#NAME?</v>
      </c>
      <c r="CY2" s="436"/>
      <c r="CZ2" s="449" t="s">
        <v>472</v>
      </c>
      <c r="DA2" s="45"/>
      <c r="DB2" s="45"/>
      <c r="DC2" s="45"/>
      <c r="DD2" s="45"/>
      <c r="DE2" s="436"/>
      <c r="DX2" t="s">
        <v>473</v>
      </c>
      <c r="DY2" s="302" t="e">
        <f ca="1">BD3</f>
        <v>#NAME?</v>
      </c>
      <c r="DZ2" s="692" t="e">
        <f ca="1">VLOOKUP(DY2,DY5:DZ91,2,FALSE)</f>
        <v>#NAME?</v>
      </c>
    </row>
    <row r="3" spans="1:130" ht="16" customHeight="1" thickBot="1">
      <c r="A3" s="86" t="s">
        <v>474</v>
      </c>
      <c r="B3" s="687" t="e">
        <f t="array" aca="1" ref="B3" ca="1">_xll.BDP(BD1,"CRNCY_ADJ_MKT_CAP", "EQY_FUND_CRNCY=USD")</f>
        <v>#NAME?</v>
      </c>
      <c r="C3" s="85" t="e">
        <f t="array" aca="1" ref="C3" ca="1">LOWER(IF(LEFT(_xll.BDP(BD1,"UD_PRIMARY_ANALYST"),1)="#","",_xll.BDP(BD1,"UD_PRIMARY_ANALYST")))</f>
        <v>#NAME?</v>
      </c>
      <c r="D3" s="17"/>
      <c r="E3" s="86" t="s">
        <v>475</v>
      </c>
      <c r="F3" s="97"/>
      <c r="G3" s="97"/>
      <c r="H3" s="97"/>
      <c r="I3" s="97"/>
      <c r="J3" s="97"/>
      <c r="K3" s="97"/>
      <c r="L3" s="97"/>
      <c r="M3" s="97"/>
      <c r="N3" s="17"/>
      <c r="O3" s="86" t="e">
        <f t="array" aca="1" ref="O3" ca="1">_xll.BDP(BD1,"GICS_INDUSTRY_NAME")</f>
        <v>#NAME?</v>
      </c>
      <c r="Q3" s="97"/>
      <c r="R3" s="97"/>
      <c r="T3" s="86" t="e">
        <f t="array" aca="1" ref="T3" ca="1">_xll.BDP(BD1,"Industry Subgroup")</f>
        <v>#NAME?</v>
      </c>
      <c r="V3" s="97"/>
      <c r="X3" s="86" t="s">
        <v>476</v>
      </c>
      <c r="Z3" s="1072" t="e">
        <f t="array" aca="1" ref="Z3" ca="1">IF(LEFT(_xll.BDP(BD1,"UD_10BPS_ATB_SHARES"),1)="#","-",_xll.BDP(BD1,"UD_10BPS_ATB_SHARES"))</f>
        <v>#NAME?</v>
      </c>
      <c r="AA3" s="1073"/>
      <c r="AC3" s="86" t="s">
        <v>477</v>
      </c>
      <c r="AE3" s="693" t="e">
        <f t="array" aca="1" ref="AE3" ca="1">_xll.BDP(BD1,"EQY_FREE_FLOAT_PCT")/100</f>
        <v>#NAME?</v>
      </c>
      <c r="AG3" s="118" t="s">
        <v>478</v>
      </c>
      <c r="AH3" s="1072" t="s">
        <v>479</v>
      </c>
      <c r="AI3" s="1073"/>
      <c r="AK3" s="86" t="s">
        <v>480</v>
      </c>
      <c r="AL3" s="86"/>
      <c r="AM3" s="86"/>
      <c r="AN3" s="86"/>
      <c r="AO3" s="86" t="str">
        <f>PROPER(CZ3)</f>
        <v>Henk-Jan Jonge Poerink,  Svp:Global Operations</v>
      </c>
      <c r="AP3" s="86"/>
      <c r="AQ3" s="86"/>
      <c r="AR3" s="86"/>
      <c r="AS3" s="86"/>
      <c r="AT3" s="39"/>
      <c r="BD3" s="449" t="e">
        <f t="array" aca="1" ref="BD3" ca="1">_xll.BDP(BD1,"exch code")</f>
        <v>#NAME?</v>
      </c>
      <c r="BE3" s="45"/>
      <c r="BF3" s="45" t="s">
        <v>481</v>
      </c>
      <c r="BG3" s="12" t="e">
        <f t="array" aca="1" ref="BG3" ca="1">_xll.BDP(BD1,"crncy adj px last","eqy fund crncy","USD")</f>
        <v>#NAME?</v>
      </c>
      <c r="BH3" s="45"/>
      <c r="BI3" s="45" t="s">
        <v>482</v>
      </c>
      <c r="BJ3" s="215" t="e">
        <f t="array" aca="1" ref="BJ3" ca="1">_xll.BDP(BD1,"crncy")</f>
        <v>#NAME?</v>
      </c>
      <c r="BK3" s="45" t="e">
        <f ca="1">BJ3&amp;" Curncy"</f>
        <v>#NAME?</v>
      </c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36"/>
      <c r="CE3" s="477" t="s">
        <v>483</v>
      </c>
      <c r="CF3" s="449" t="s">
        <v>484</v>
      </c>
      <c r="CG3" s="215" t="e">
        <f t="array" aca="1" ref="CG3" ca="1">_xll.BDP(BD1,"eqy consolidated")</f>
        <v>#NAME?</v>
      </c>
      <c r="CH3" s="215" t="e">
        <f t="array" aca="1" ref="CH3" ca="1">_xll.BDP(BD1,"eqy consol fund avail")</f>
        <v>#NAME?</v>
      </c>
      <c r="CI3" s="215" t="e">
        <f ca="1">IF(OR(CG3="Y",CH3="Y"),"Y","")</f>
        <v>#NAME?</v>
      </c>
      <c r="CJ3" s="13" t="e">
        <f t="array" aca="1" ref="CJ3" ca="1">_xll.BDP(BD1,"BS_TOT_ASSET","EQY_CONSOLIDATED=Y","EQY_FUND_RELATIVE_PERIOD=-0FY")</f>
        <v>#NAME?</v>
      </c>
      <c r="CK3" s="13" t="e">
        <f t="array" aca="1" ref="CK3" ca="1">_xll.BDP(BD1,"BS_TOT_ASSET","EQY_CONSOLIDATED=Y","EQY_FUND_RELATIVE_PERIOD=-1FY")</f>
        <v>#NAME?</v>
      </c>
      <c r="CL3" s="45"/>
      <c r="CM3" s="45"/>
      <c r="CN3" s="215"/>
      <c r="CO3" s="215"/>
      <c r="CP3" s="215"/>
      <c r="CQ3" s="215"/>
      <c r="CR3" s="215"/>
      <c r="CS3" s="182" t="e">
        <f ca="1">IF(CI3="","",IF(AND(CI3="Y",OR(ISNUMBER(CJ3),ISNUMBER(CK3))),"Y","N"))</f>
        <v>#NAME?</v>
      </c>
      <c r="CT3" s="11" t="e">
        <f ca="1">IF(CS3="","-",IF(CS3="N","PARENT","CONSOLIDATED"))</f>
        <v>#NAME?</v>
      </c>
      <c r="CU3" s="45"/>
      <c r="CV3" s="182" t="e">
        <f ca="1">IF(CS3="N","P","C")</f>
        <v>#NAME?</v>
      </c>
      <c r="CW3" s="45"/>
      <c r="CX3" s="45"/>
      <c r="CY3" s="436"/>
      <c r="CZ3" s="449" t="s">
        <v>485</v>
      </c>
      <c r="DA3" s="45"/>
      <c r="DB3" s="45"/>
      <c r="DC3" s="45"/>
      <c r="DD3" s="45"/>
      <c r="DE3" s="436"/>
      <c r="DX3" s="301" t="s">
        <v>486</v>
      </c>
      <c r="DY3" s="300"/>
      <c r="DZ3" s="300"/>
    </row>
    <row r="4" spans="1:130" ht="16" customHeight="1">
      <c r="A4" s="86" t="e">
        <f ca="1">BJ3&amp;" Mkt Cap:"</f>
        <v>#NAME?</v>
      </c>
      <c r="B4" s="687" t="e">
        <f t="array" aca="1" ref="B4" ca="1">_xll.BDP($BD$1,"cur mkt cap","scaling format",BI8)</f>
        <v>#NAME?</v>
      </c>
      <c r="C4" s="86" t="e">
        <f t="array" aca="1" ref="C4" ca="1">LOWER(IF(LEFT(_xll.BDP(BD1,"ud secondary analyst"),1)="#","",_xll.BDP(BD1,"ud secondary analyst")))</f>
        <v>#NAME?</v>
      </c>
      <c r="D4" s="17"/>
      <c r="E4" s="86" t="s">
        <v>487</v>
      </c>
      <c r="F4" s="97"/>
      <c r="G4" s="97"/>
      <c r="H4" s="97"/>
      <c r="I4" s="97"/>
      <c r="J4" s="97"/>
      <c r="K4" s="97"/>
      <c r="L4" s="97"/>
      <c r="M4" s="97"/>
      <c r="N4" s="17"/>
      <c r="O4" s="86" t="e">
        <f t="array" aca="1" ref="O4" ca="1">_xll.BDP(BD1,"GICS_SUB_INDUSTRY_NAME")</f>
        <v>#NAME?</v>
      </c>
      <c r="Q4" s="97"/>
      <c r="R4" s="97"/>
      <c r="S4" s="17"/>
      <c r="X4" s="86" t="s">
        <v>488</v>
      </c>
      <c r="AA4" s="779" t="str">
        <f ca="1">IFERROR(Z3/AH3,"-")</f>
        <v>-</v>
      </c>
      <c r="AC4" s="227" t="s">
        <v>489</v>
      </c>
      <c r="AD4" s="753"/>
      <c r="AE4" s="694" t="e">
        <f t="array" aca="1" ref="AE4" ca="1">IF(ISNUMBER(AE3),1-AE3,_xll.BDP($BD$1,"pct insider shares out")/100)</f>
        <v>#NAME?</v>
      </c>
      <c r="AG4" s="211" t="s">
        <v>490</v>
      </c>
      <c r="AH4" s="1074" t="e">
        <f ca="1">BG3*AH3</f>
        <v>#NAME?</v>
      </c>
      <c r="AI4" s="1054"/>
      <c r="AK4" s="86"/>
      <c r="AL4" s="86"/>
      <c r="AM4" s="86"/>
      <c r="AN4" s="86"/>
      <c r="AO4" s="86" t="str">
        <f>PROPER(CZ4)</f>
        <v>Jeroen Kleijburg,  Svp:Packaging</v>
      </c>
      <c r="AP4" s="86"/>
      <c r="AQ4" s="86"/>
      <c r="AR4" s="86"/>
      <c r="AS4" s="86"/>
      <c r="AT4" s="39"/>
      <c r="BD4" s="449" t="e">
        <f t="array" aca="1" ref="BD4" ca="1">IF(LEFT(_xll.BDP(BD1,"ud watch list"),1)="#","-",_xll.BDP(BD1,"ud watch list"))</f>
        <v>#NAME?</v>
      </c>
      <c r="BE4" s="45"/>
      <c r="BF4" s="45" t="s">
        <v>491</v>
      </c>
      <c r="BG4" s="684" t="e">
        <f ca="1">IF(OR(BD8&gt;=15,BD9&gt;=15),BG5*1000000,IF(OR(BD8&gt;=12,BD9&gt;=12),BG5*1000,BG5))</f>
        <v>#NAME?</v>
      </c>
      <c r="BH4" s="45"/>
      <c r="BI4" s="45" t="s">
        <v>492</v>
      </c>
      <c r="BJ4" s="215" t="e">
        <f t="array" aca="1" ref="BJ4" ca="1">_xll.BDP($BD$1,"EQY_FUND_CRNCY")</f>
        <v>#NAME?</v>
      </c>
      <c r="BK4" s="45" t="e">
        <f ca="1">BJ4&amp;" Curncy"</f>
        <v>#NAME?</v>
      </c>
      <c r="BL4" s="45"/>
      <c r="BM4" s="45" t="s">
        <v>493</v>
      </c>
      <c r="BN4" s="45"/>
      <c r="BO4" s="45" t="e">
        <f t="array" aca="1" ref="BO4" ca="1">_xll.BDP(BD1,"company auditor","eqy fund year",YEAR(BJ2)-2)</f>
        <v>#NAME?</v>
      </c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36"/>
      <c r="CE4" s="478"/>
      <c r="CF4" s="449"/>
      <c r="CG4" s="45"/>
      <c r="CH4" s="45"/>
      <c r="CI4" s="45"/>
      <c r="CJ4" s="45"/>
      <c r="CK4" s="215"/>
      <c r="CL4" s="215"/>
      <c r="CM4" s="215"/>
      <c r="CN4" s="215"/>
      <c r="CO4" s="215"/>
      <c r="CP4" s="215"/>
      <c r="CQ4" s="215"/>
      <c r="CR4" s="215"/>
      <c r="CS4" s="215"/>
      <c r="CT4" s="45"/>
      <c r="CU4" s="45"/>
      <c r="CV4" s="45"/>
      <c r="CW4" s="45"/>
      <c r="CX4" s="45"/>
      <c r="CY4" s="436"/>
      <c r="CZ4" s="449" t="s">
        <v>494</v>
      </c>
      <c r="DA4" s="45"/>
      <c r="DB4" s="45"/>
      <c r="DC4" s="45"/>
      <c r="DD4" s="45"/>
      <c r="DE4" s="436"/>
      <c r="DX4" s="277" t="s">
        <v>495</v>
      </c>
      <c r="DY4" s="277" t="s">
        <v>496</v>
      </c>
      <c r="DZ4" s="277" t="s">
        <v>497</v>
      </c>
    </row>
    <row r="5" spans="1:130" ht="16" customHeight="1" thickBot="1">
      <c r="A5" s="86" t="e">
        <f ca="1">BD4</f>
        <v>#NAME?</v>
      </c>
      <c r="B5" s="86"/>
      <c r="C5" s="86"/>
      <c r="D5" s="17"/>
      <c r="E5" s="86" t="s">
        <v>498</v>
      </c>
      <c r="F5" s="97"/>
      <c r="G5" s="97"/>
      <c r="H5" s="97"/>
      <c r="I5" s="97"/>
      <c r="J5" s="97"/>
      <c r="K5" s="97"/>
      <c r="L5" s="97"/>
      <c r="M5" s="97"/>
      <c r="N5" s="17"/>
      <c r="P5" s="97"/>
      <c r="Q5" s="97"/>
      <c r="R5" s="97"/>
      <c r="S5" s="97"/>
      <c r="T5" s="254" t="s">
        <v>499</v>
      </c>
      <c r="U5" s="255" t="s">
        <v>500</v>
      </c>
      <c r="V5" s="256" t="s">
        <v>501</v>
      </c>
      <c r="W5" s="213"/>
      <c r="X5" s="67" t="s">
        <v>502</v>
      </c>
      <c r="Y5" s="68" t="s">
        <v>502</v>
      </c>
      <c r="Z5" s="64" t="s">
        <v>503</v>
      </c>
      <c r="AA5" s="68" t="s">
        <v>503</v>
      </c>
      <c r="AB5" s="64" t="s">
        <v>502</v>
      </c>
      <c r="AC5" s="68" t="s">
        <v>502</v>
      </c>
      <c r="AD5" s="64" t="s">
        <v>503</v>
      </c>
      <c r="AE5" s="68" t="s">
        <v>504</v>
      </c>
      <c r="AF5" s="64" t="s">
        <v>503</v>
      </c>
      <c r="AG5" s="68" t="s">
        <v>504</v>
      </c>
      <c r="AH5" s="64" t="s">
        <v>502</v>
      </c>
      <c r="AI5" s="68" t="s">
        <v>502</v>
      </c>
      <c r="AK5" s="86" t="e">
        <f t="array" aca="1" ref="AK5" ca="1">"Phone: "&amp;_xll.BDP(BD1,"company tel number")</f>
        <v>#NAME?</v>
      </c>
      <c r="AL5" s="86"/>
      <c r="AM5" s="86"/>
      <c r="AN5" s="86"/>
      <c r="AO5" s="86" t="str">
        <f>PROPER(CZ5)</f>
        <v>Andrea Kopp-Battaglia,  Svp:Finance Die Attach</v>
      </c>
      <c r="AP5" s="86"/>
      <c r="AQ5" s="86"/>
      <c r="AR5" s="86"/>
      <c r="AS5" s="86"/>
      <c r="AT5" s="39"/>
      <c r="BD5" s="523" t="s">
        <v>505</v>
      </c>
      <c r="BE5" s="420"/>
      <c r="BF5" s="420" t="s">
        <v>506</v>
      </c>
      <c r="BG5" s="761">
        <f t="array" aca="1" ref="BG5" ca="1">IFERROR(_xll.BDP(BD1,"ud scale")*1,1000000)</f>
        <v>1000000</v>
      </c>
      <c r="BH5" s="420"/>
      <c r="BI5" s="420"/>
      <c r="BJ5" s="420"/>
      <c r="BK5" s="420"/>
      <c r="BL5" s="420"/>
      <c r="BM5" s="420"/>
      <c r="BN5" s="420"/>
      <c r="BO5" s="420"/>
      <c r="BP5" s="420"/>
      <c r="BQ5" s="420"/>
      <c r="BR5" s="420"/>
      <c r="BS5" s="420"/>
      <c r="BT5" s="420"/>
      <c r="BU5" s="420"/>
      <c r="BV5" s="420"/>
      <c r="BW5" s="420"/>
      <c r="BX5" s="420"/>
      <c r="BY5" s="420"/>
      <c r="BZ5" s="420"/>
      <c r="CA5" s="420"/>
      <c r="CB5" s="420"/>
      <c r="CC5" s="420"/>
      <c r="CD5" s="474"/>
      <c r="CE5" s="479"/>
      <c r="CF5" s="473" t="s">
        <v>507</v>
      </c>
      <c r="CG5" s="480" t="e">
        <f t="array" aca="1" ref="CG5" ca="1">_xll.BDP(BD1,"eqy consolidated")</f>
        <v>#NAME?</v>
      </c>
      <c r="CH5" s="480" t="e">
        <f t="array" aca="1" ref="CH5" ca="1">_xll.BDP(BD1,"eqy consol fund avail")</f>
        <v>#NAME?</v>
      </c>
      <c r="CI5" s="480" t="e">
        <f ca="1">IF(OR(CG5="Y",CH5="Y"),"Y","")</f>
        <v>#NAME?</v>
      </c>
      <c r="CJ5" s="480" t="e">
        <f ca="1">IF(OR(CG5="Y",CH5="Y"),"Y","N")</f>
        <v>#NAME?</v>
      </c>
      <c r="CK5" s="480" t="e">
        <f t="array" aca="1" ref="CK5" ca="1">_xll.BDP(BD1,"BS_TOT_ASSET","EQY_CONSOLIDATED=Y","EQY_FUND_RELATIVE_PERIOD=Q")</f>
        <v>#NAME?</v>
      </c>
      <c r="CL5" s="480" t="str">
        <f ca="1">IF(ISNUMBER(CK5),"Y","N")</f>
        <v>N</v>
      </c>
      <c r="CM5" s="480" t="e">
        <f t="array" aca="1" ref="CM5" ca="1">_xll.BDP(BD1,"BS_TOT_ASSET","EQY_CONSOLIDATED=Y","EQY_FUND_RELATIVE_PERIOD=-1FQ")</f>
        <v>#NAME?</v>
      </c>
      <c r="CN5" s="480" t="str">
        <f ca="1">IF(ISNUMBER(CM5),"Y","N")</f>
        <v>N</v>
      </c>
      <c r="CO5" s="480" t="e">
        <f t="array" aca="1" ref="CO5" ca="1">_xll.BDH(BD1,"SALES_REV_TURN","ED-0CQ","LRP","Dir=V","Dts=H","Sort=D","Quote=C","QtTyp=Y","Days=T","Per=cq","DtFmt=P","UseDPDF=Y")</f>
        <v>#NAME?</v>
      </c>
      <c r="CP5" s="480" t="str">
        <f ca="1">IF(ISNUMBER(CO5),"Y","N")</f>
        <v>N</v>
      </c>
      <c r="CQ5" s="480" t="e">
        <f t="array" aca="1" ref="CQ5" ca="1">_xll.BDP(BD1,"country full name")</f>
        <v>#NAME?</v>
      </c>
      <c r="CR5" s="480" t="e">
        <f ca="1">IF(CI5="","",IF(CQ5="INDIA",CP5,IF(CQ5="TAIWAN",CN5,CL5)))</f>
        <v>#NAME?</v>
      </c>
      <c r="CS5" s="480" t="e">
        <f ca="1">IF(OR(CR5="Y",CR5="N"),CR5,CH5)</f>
        <v>#NAME?</v>
      </c>
      <c r="CT5" s="420" t="e">
        <f ca="1">IF(CR5="","",IF(CR5="N","PARENT","CONSOLIDATED"))</f>
        <v>#NAME?</v>
      </c>
      <c r="CU5" s="420"/>
      <c r="CV5" s="420"/>
      <c r="CW5" s="420"/>
      <c r="CX5" s="420"/>
      <c r="CY5" s="474"/>
      <c r="CZ5" s="473" t="s">
        <v>508</v>
      </c>
      <c r="DA5" s="420"/>
      <c r="DB5" s="420"/>
      <c r="DC5" s="420"/>
      <c r="DD5" s="420"/>
      <c r="DE5" s="474"/>
      <c r="DX5" t="s">
        <v>509</v>
      </c>
      <c r="DY5" s="2" t="s">
        <v>510</v>
      </c>
      <c r="DZ5" s="695">
        <v>0.1</v>
      </c>
    </row>
    <row r="6" spans="1:130" ht="16" customHeight="1" thickBot="1">
      <c r="A6" s="522"/>
      <c r="B6" s="686"/>
      <c r="C6" s="86"/>
      <c r="D6" s="17"/>
      <c r="E6" s="86" t="s">
        <v>511</v>
      </c>
      <c r="G6" s="86" t="e">
        <f t="array" aca="1" ref="G6" ca="1">_xll.BDP(BD1,"CRNCY")&amp;"/"&amp;_xll.BDP(BD1,"EQY_FUND_CRNCY")</f>
        <v>#NAME?</v>
      </c>
      <c r="I6" s="61" t="s">
        <v>512</v>
      </c>
      <c r="J6" s="521" t="s">
        <v>513</v>
      </c>
      <c r="L6" s="86" t="e">
        <f ca="1">CT3</f>
        <v>#NAME?</v>
      </c>
      <c r="O6" s="86" t="s">
        <v>491</v>
      </c>
      <c r="P6" s="189" t="e">
        <f ca="1">BJ8</f>
        <v>#NAME?</v>
      </c>
      <c r="S6" t="s">
        <v>463</v>
      </c>
      <c r="T6" s="208" t="str">
        <f ca="1">AV90</f>
        <v/>
      </c>
      <c r="U6" s="280" t="str">
        <f ca="1">AV91</f>
        <v/>
      </c>
      <c r="V6" s="207" t="str">
        <f ca="1">AV92</f>
        <v/>
      </c>
      <c r="W6" s="212" t="s">
        <v>439</v>
      </c>
      <c r="X6" s="70" t="s">
        <v>514</v>
      </c>
      <c r="Y6" s="71" t="s">
        <v>515</v>
      </c>
      <c r="Z6" s="69" t="s">
        <v>514</v>
      </c>
      <c r="AA6" s="71" t="s">
        <v>515</v>
      </c>
      <c r="AB6" s="69" t="s">
        <v>516</v>
      </c>
      <c r="AC6" s="71" t="s">
        <v>517</v>
      </c>
      <c r="AD6" s="69" t="s">
        <v>516</v>
      </c>
      <c r="AE6" s="71" t="s">
        <v>516</v>
      </c>
      <c r="AF6" s="69" t="s">
        <v>518</v>
      </c>
      <c r="AG6" s="71" t="s">
        <v>518</v>
      </c>
      <c r="AH6" s="69" t="s">
        <v>519</v>
      </c>
      <c r="AI6" s="71" t="s">
        <v>520</v>
      </c>
      <c r="AK6" s="102" t="e">
        <f t="array" aca="1" ref="AK6" ca="1">_xll.BDP(BD1,"company web address")</f>
        <v>#NAME?</v>
      </c>
      <c r="AL6" s="86"/>
      <c r="AM6" s="86"/>
      <c r="AN6" s="86"/>
      <c r="AO6" s="86" t="str">
        <f>PROPER(DD6)</f>
        <v/>
      </c>
      <c r="AP6" s="86"/>
      <c r="AQ6" s="86"/>
      <c r="AR6" s="86"/>
      <c r="AS6" s="86"/>
      <c r="AT6" s="39"/>
      <c r="DX6" t="s">
        <v>521</v>
      </c>
      <c r="DY6" s="2" t="s">
        <v>522</v>
      </c>
      <c r="DZ6" s="695">
        <v>0.15</v>
      </c>
    </row>
    <row r="7" spans="1:130" ht="16" customHeight="1">
      <c r="A7" t="s">
        <v>463</v>
      </c>
      <c r="T7" s="281" t="s">
        <v>523</v>
      </c>
      <c r="U7" s="1079" t="e">
        <f ca="1">BS31</f>
        <v>#NAME?</v>
      </c>
      <c r="V7" s="1049"/>
      <c r="W7" s="206" t="s">
        <v>524</v>
      </c>
      <c r="X7" s="696" t="e">
        <f ca="1">AH104</f>
        <v>#NAME?</v>
      </c>
      <c r="Y7" s="780" t="str">
        <f ca="1">IFERROR($AY$31/X7,"")</f>
        <v/>
      </c>
      <c r="Z7" s="697" t="e">
        <f ca="1">T32</f>
        <v>#NAME?</v>
      </c>
      <c r="AA7" s="780" t="str">
        <f ca="1">IFERROR($AY$31/Z7,"")</f>
        <v/>
      </c>
      <c r="AB7" s="696" t="e">
        <f ca="1">AL104</f>
        <v>#NAME?</v>
      </c>
      <c r="AC7" s="780" t="str">
        <f ca="1">AO104</f>
        <v/>
      </c>
      <c r="AD7" s="696" t="e">
        <f ca="1">DJ32</f>
        <v>#NAME?</v>
      </c>
      <c r="AE7" s="781" t="str">
        <f ca="1">IFERROR($AY$31/AK104,"")</f>
        <v/>
      </c>
      <c r="AF7" s="698" t="e">
        <f ca="1">AC32</f>
        <v>#NAME?</v>
      </c>
      <c r="AG7" s="781" t="str">
        <f ca="1">IFERROR($AY$31/AF7,"")</f>
        <v/>
      </c>
      <c r="AH7" s="782" t="e">
        <f t="array" aca="1" ref="AH7" ca="1">_xll.BDP($BD$1,"best roa","best fperiod override","1FY","best consolidated override",$AY$98,"eqy fund crncy",$B$13)</f>
        <v>#NAME?</v>
      </c>
      <c r="AI7" s="783" t="e">
        <f t="array" aca="1" ref="AI7" ca="1">_xll.BDP($BD$1,"best roe","best fperiod override","1FY","best consolidated override",$AY$98,"eqy fund crncy",$B$13)</f>
        <v>#NAME?</v>
      </c>
      <c r="AJ7" t="s">
        <v>463</v>
      </c>
      <c r="AK7" s="86" t="s">
        <v>463</v>
      </c>
      <c r="AM7" s="86"/>
      <c r="AN7" s="86"/>
      <c r="AO7" s="86"/>
      <c r="AP7" s="86"/>
      <c r="AQ7" s="86"/>
      <c r="AR7" s="86"/>
      <c r="AS7" s="86"/>
      <c r="AT7" s="39"/>
      <c r="BD7" s="447" t="s">
        <v>525</v>
      </c>
      <c r="BE7" s="448"/>
      <c r="BF7" s="448"/>
      <c r="BG7" s="448"/>
      <c r="BH7" s="448"/>
      <c r="BI7" s="448"/>
      <c r="BJ7" s="448"/>
      <c r="BK7" s="472"/>
      <c r="BM7" s="447" t="s">
        <v>526</v>
      </c>
      <c r="BN7" s="448"/>
      <c r="BO7" s="448"/>
      <c r="BP7" s="448"/>
      <c r="BQ7" s="448" t="s">
        <v>527</v>
      </c>
      <c r="BR7" s="448"/>
      <c r="BS7" s="424" t="str">
        <f ca="1">IFERROR(IF(AND(ISNUMBER($B$94),BP9=""),1,IF($B$94&gt;=BO9,1,"")),"")</f>
        <v/>
      </c>
      <c r="BT7" s="475" t="str">
        <f ca="1">IFERROR(IF(AND(ISNUMBER(B94),B94&lt;BO9),1,""),"")</f>
        <v/>
      </c>
      <c r="BV7" s="486" t="s">
        <v>528</v>
      </c>
      <c r="DX7" t="s">
        <v>529</v>
      </c>
      <c r="DY7" s="2" t="s">
        <v>530</v>
      </c>
      <c r="DZ7" s="695">
        <v>0.25</v>
      </c>
    </row>
    <row r="8" spans="1:130" ht="16" customHeight="1">
      <c r="A8" s="99" t="s">
        <v>531</v>
      </c>
      <c r="B8" s="99" t="s">
        <v>442</v>
      </c>
      <c r="C8" s="278" t="s">
        <v>532</v>
      </c>
      <c r="D8" s="99" t="s">
        <v>444</v>
      </c>
      <c r="E8" s="101" t="s">
        <v>445</v>
      </c>
      <c r="F8" s="101" t="s">
        <v>446</v>
      </c>
      <c r="G8" s="99" t="s">
        <v>447</v>
      </c>
      <c r="H8" s="101" t="s">
        <v>448</v>
      </c>
      <c r="I8" s="100" t="s">
        <v>449</v>
      </c>
      <c r="J8" s="101" t="s">
        <v>450</v>
      </c>
      <c r="K8" s="101" t="s">
        <v>451</v>
      </c>
      <c r="L8" s="101" t="s">
        <v>452</v>
      </c>
      <c r="M8" s="101" t="s">
        <v>453</v>
      </c>
      <c r="N8" s="101" t="s">
        <v>454</v>
      </c>
      <c r="O8" s="101" t="s">
        <v>455</v>
      </c>
      <c r="P8" s="99" t="s">
        <v>456</v>
      </c>
      <c r="Q8" s="101" t="s">
        <v>457</v>
      </c>
      <c r="R8" s="100" t="s">
        <v>458</v>
      </c>
      <c r="T8" s="208" t="s">
        <v>533</v>
      </c>
      <c r="U8" s="1086" t="e">
        <f ca="1">B4</f>
        <v>#NAME?</v>
      </c>
      <c r="V8" s="1055"/>
      <c r="W8" s="206" t="s">
        <v>534</v>
      </c>
      <c r="X8" s="699" t="e">
        <f ca="1">AH105</f>
        <v>#NAME?</v>
      </c>
      <c r="Y8" s="780" t="str">
        <f ca="1">IFERROR($AY$31/X8,"")</f>
        <v/>
      </c>
      <c r="Z8" s="700" t="e">
        <f ca="1">T33</f>
        <v>#NAME?</v>
      </c>
      <c r="AA8" s="780" t="str">
        <f ca="1">IFERROR($AY$31/Z8,"")</f>
        <v/>
      </c>
      <c r="AB8" s="699" t="e">
        <f ca="1">AL105</f>
        <v>#NAME?</v>
      </c>
      <c r="AC8" s="780" t="str">
        <f ca="1">AO105</f>
        <v/>
      </c>
      <c r="AD8" s="699" t="e">
        <f ca="1">DJ33</f>
        <v>#NAME?</v>
      </c>
      <c r="AE8" s="784" t="str">
        <f ca="1">IFERROR($AY$31/AK105,"")</f>
        <v/>
      </c>
      <c r="AF8" s="698" t="e">
        <f ca="1">AC33</f>
        <v>#NAME?</v>
      </c>
      <c r="AG8" s="784" t="str">
        <f ca="1">IFERROR($AY$31/AF8,"")</f>
        <v/>
      </c>
      <c r="AH8" s="785" t="e">
        <f t="array" aca="1" ref="AH8" ca="1">_xll.BDP($BD$1,"best roa","best fperiod override","2FY","best consolidated override",$AY$98,"eqy fund crncy",$B$13)</f>
        <v>#NAME?</v>
      </c>
      <c r="AI8" s="786" t="e">
        <f t="array" aca="1" ref="AI8" ca="1">_xll.BDP($BD$1,"best roe","best fperiod override","2FY","best consolidated override",$AY$98,"eqy fund crncy",$B$13)</f>
        <v>#NAME?</v>
      </c>
      <c r="AJ8" t="s">
        <v>463</v>
      </c>
      <c r="AK8" s="87" t="s">
        <v>535</v>
      </c>
      <c r="AL8" s="701">
        <f ca="1">MAX(T16:T31)</f>
        <v>3.39</v>
      </c>
      <c r="AM8" s="229" t="s">
        <v>536</v>
      </c>
      <c r="AN8" s="161"/>
      <c r="AO8" s="204" t="s">
        <v>537</v>
      </c>
      <c r="AP8" s="205" t="s">
        <v>538</v>
      </c>
      <c r="AQ8" s="87" t="s">
        <v>539</v>
      </c>
      <c r="AR8" s="747"/>
      <c r="AS8" s="787" t="e">
        <f t="array" aca="1" ref="AS8" ca="1">IF(LEFT(_xll.BDP(BD1,"eqy init po dt"),1)="#","",DATEVALUE(_xll.BDP(BD1,"eqy init po dt")))</f>
        <v>#NAME?</v>
      </c>
      <c r="AT8" s="39"/>
      <c r="BD8" s="481" t="e">
        <f ca="1">LEN(BG8)</f>
        <v>#NAME?</v>
      </c>
      <c r="BE8" s="45"/>
      <c r="BF8" s="45" t="s">
        <v>540</v>
      </c>
      <c r="BG8" s="1077" t="e">
        <f t="array" aca="1" ref="BG8" ca="1">ROUND(_xll.BDP(BD1,"sales rev turn","scaling format","UNT"),0)</f>
        <v>#NAME?</v>
      </c>
      <c r="BH8" s="1073"/>
      <c r="BI8" s="302" t="e">
        <f ca="1">IF(OR(BD8&gt;=15,BD9&gt;=15),"TRN",IF(OR(BD8&gt;=12,BD9&gt;=12),"BLN","MLN"))</f>
        <v>#NAME?</v>
      </c>
      <c r="BJ8" s="292" t="e">
        <f ca="1">IF(BI8="K","Thousands",IF(BI8="MLN","Millions",IF(BI8="BLN","Billions",IF(BI8="TRN","Trillions",""))))</f>
        <v>#NAME?</v>
      </c>
      <c r="BK8" s="482"/>
      <c r="BM8" s="481" t="e">
        <f t="array" aca="1" ref="BM8" ca="1">_xll.BDP(BD1,"latest announcement dt","eqy consolidated=y")</f>
        <v>#NAME?</v>
      </c>
      <c r="BN8" s="215" t="e">
        <f t="array" aca="1" ref="BN8" ca="1">_xll.BDP(BD1,"latest announcement dt","eqy consolidated=n")</f>
        <v>#NAME?</v>
      </c>
      <c r="BO8" s="45"/>
      <c r="BP8" s="45"/>
      <c r="BQ8" s="45" t="e">
        <f t="array" aca="1" ref="BQ8" ca="1">_xll.BDP(BD1,"expected report dt","eqy consolidated=y")</f>
        <v>#NAME?</v>
      </c>
      <c r="BR8" s="45" t="e">
        <f t="array" aca="1" ref="BR8" ca="1">_xll.BDP(BD1,"expected report dt","eqy consolidated=n")</f>
        <v>#NAME?</v>
      </c>
      <c r="BS8" s="215" t="b">
        <f ca="1">ISERR(B94)</f>
        <v>1</v>
      </c>
      <c r="BT8" s="483" t="e">
        <f ca="1">IF(AND(BS7=1,B92&gt;B94),1,"")</f>
        <v>#NAME?</v>
      </c>
      <c r="BU8" s="47"/>
      <c r="BV8" s="788" t="e">
        <f t="array" aca="1" ref="BV8" ca="1">_xll.BDP($BD$1,"best est long term growth")</f>
        <v>#NAME?</v>
      </c>
      <c r="DX8" t="s">
        <v>541</v>
      </c>
      <c r="DY8" s="2" t="s">
        <v>542</v>
      </c>
      <c r="DZ8" s="695">
        <v>0</v>
      </c>
    </row>
    <row r="9" spans="1:130" ht="16" customHeight="1" thickBot="1">
      <c r="A9" s="681" t="s">
        <v>543</v>
      </c>
      <c r="B9" s="77" t="e">
        <f t="array" aca="1" ref="B9" ca="1">_xll.BDS("U8162823-25 Client","Portfolio_Mweight","secid="&amp;$BD$2&amp;" "&amp;$BD$3&amp;" EQUITY")</f>
        <v>#NAME?</v>
      </c>
      <c r="C9" s="75" t="e">
        <f t="array" aca="1" ref="C9" ca="1">_xll.BDS("U8162823-106 Client","Portfolio_Mweight","secid="&amp;$BD$2&amp;" "&amp;$BD$3&amp;" EQUITY")</f>
        <v>#NAME?</v>
      </c>
      <c r="D9" s="77" t="e">
        <f t="array" aca="1" ref="D9" ca="1">_xll.BDS("U8162823-58 Client","Portfolio_Mweight","secid="&amp;BD2&amp;" "&amp;BD3&amp;" EQUITY")</f>
        <v>#NAME?</v>
      </c>
      <c r="E9" s="75" t="e">
        <f t="array" aca="1" ref="E9" ca="1">_xll.BDS("U8162823-17 Client","Portfolio_Mweight","secid="&amp;$BD$2&amp;" "&amp;$BD$3&amp;" EQUITY")</f>
        <v>#NAME?</v>
      </c>
      <c r="F9" s="75" t="e">
        <f t="array" aca="1" ref="F9" ca="1">_xll.BDS("U8162823-98 Client","Portfolio_Mweight","secid="&amp;$BD$2&amp;" "&amp;$BD$3&amp;" EQUITY")</f>
        <v>#NAME?</v>
      </c>
      <c r="G9" s="77" t="e">
        <f t="array" aca="1" ref="G9" ca="1">_xll.BDS("U8162823-18 Client","Portfolio_Mweight","secid="&amp;BD2&amp;" "&amp;BD3&amp;" EQUITY")</f>
        <v>#NAME?</v>
      </c>
      <c r="H9" s="75" t="e">
        <f t="array" aca="1" ref="H9" ca="1">_xll.BDS("U8162823-34 Client","Portfolio_Mweight","secid="&amp;BD2&amp;" "&amp;BD3&amp;" EQUITY")</f>
        <v>#NAME?</v>
      </c>
      <c r="I9" s="78" t="e">
        <f t="array" aca="1" ref="I9" ca="1">_xll.BDS("U8162823-102 Client","Portfolio_Mweight","secid="&amp;BD2&amp;" "&amp;BD3&amp;" EQUITY")</f>
        <v>#NAME?</v>
      </c>
      <c r="J9" s="75" t="e">
        <f t="array" aca="1" ref="J9" ca="1">_xll.BDS("U8162823-56 Client","Portfolio_Mweight","secid="&amp;BD2&amp;" "&amp;BD3&amp;" EQUITY")</f>
        <v>#NAME?</v>
      </c>
      <c r="K9" s="27" t="s">
        <v>463</v>
      </c>
      <c r="L9" s="75" t="e">
        <f t="array" aca="1" ref="L9" ca="1">_xll.BDS("U8162823-57 Client","Portfolio_Mweight","secid="&amp;BD2&amp;" "&amp;BD3&amp;" EQUITY")</f>
        <v>#NAME?</v>
      </c>
      <c r="M9" s="75" t="s">
        <v>463</v>
      </c>
      <c r="N9" s="75" t="e">
        <f t="array" aca="1" ref="N9" ca="1">_xll.BDS("U8162823-100 Client","Portfolio_Mweight","secid="&amp;BD2&amp;" "&amp;BD3&amp;" EQUITY")</f>
        <v>#NAME?</v>
      </c>
      <c r="O9" s="75" t="s">
        <v>463</v>
      </c>
      <c r="P9" s="77" t="e">
        <f t="array" aca="1" ref="P9" ca="1">_xll.BDS("U8162823-65 Client","Portfolio_Mweight","secid="&amp;BD2&amp;" "&amp;BD3&amp;" EQUITY")</f>
        <v>#NAME?</v>
      </c>
      <c r="Q9" s="75" t="e">
        <f t="array" aca="1" ref="Q9" ca="1">_xll.BDS("U8162823-67 Client","Portfolio_Mweight","secid="&amp;BD2&amp;" "&amp;BD3&amp;" EQUITY")</f>
        <v>#NAME?</v>
      </c>
      <c r="R9" s="78" t="s">
        <v>463</v>
      </c>
      <c r="S9" t="s">
        <v>463</v>
      </c>
      <c r="T9" s="281" t="s">
        <v>544</v>
      </c>
      <c r="U9" s="282" t="s">
        <v>545</v>
      </c>
      <c r="V9" s="225" t="s">
        <v>546</v>
      </c>
      <c r="W9" s="206" t="s">
        <v>547</v>
      </c>
      <c r="X9" s="699" t="e">
        <f ca="1">AH106</f>
        <v>#NAME?</v>
      </c>
      <c r="Y9" s="780" t="str">
        <f ca="1">IFERROR($AY$31/X9,"")</f>
        <v/>
      </c>
      <c r="Z9" s="700" t="e">
        <f ca="1">T34</f>
        <v>#NAME?</v>
      </c>
      <c r="AA9" s="780" t="str">
        <f ca="1">IFERROR($AY$31/Z9,"")</f>
        <v/>
      </c>
      <c r="AB9" s="699" t="e">
        <f ca="1">AL106</f>
        <v>#NAME?</v>
      </c>
      <c r="AC9" s="780" t="str">
        <f ca="1">AO106</f>
        <v/>
      </c>
      <c r="AD9" s="699" t="e">
        <f ca="1">DJ34</f>
        <v>#NAME?</v>
      </c>
      <c r="AE9" s="784" t="str">
        <f ca="1">IFERROR($AY$31/AK106,"")</f>
        <v/>
      </c>
      <c r="AF9" s="698" t="e">
        <f ca="1">AC34</f>
        <v>#NAME?</v>
      </c>
      <c r="AG9" s="784" t="str">
        <f ca="1">IFERROR($AY$31/AF9,"")</f>
        <v/>
      </c>
      <c r="AH9" s="785" t="e">
        <f t="array" aca="1" ref="AH9" ca="1">_xll.BDP($BD$1,"best roa","best fperiod override","3FY","best consolidated override",$AY$98,"eqy fund crncy",$B$13)</f>
        <v>#NAME?</v>
      </c>
      <c r="AI9" s="786" t="e">
        <f t="array" aca="1" ref="AI9" ca="1">_xll.BDP($BD$1,"best roe","best fperiod override","3FY","best consolidated override",$AY$98,"eqy fund crncy",$B$13)</f>
        <v>#NAME?</v>
      </c>
      <c r="AJ9" t="s">
        <v>463</v>
      </c>
      <c r="AK9" s="88" t="s">
        <v>548</v>
      </c>
      <c r="AL9" s="784" t="str">
        <f ca="1">IFERROR(AY31/AL8,"")</f>
        <v/>
      </c>
      <c r="AM9" s="159" t="s">
        <v>549</v>
      </c>
      <c r="AN9" s="789" t="e">
        <f t="array" aca="1" ref="AN9" ca="1">_xll.BDP(BD1,"chg pct 1m")*1</f>
        <v>#NAME?</v>
      </c>
      <c r="AO9" s="790" t="e">
        <f t="array" aca="1" ref="AO9" ca="1">_xll.BDP(BD1,"high 52week")</f>
        <v>#NAME?</v>
      </c>
      <c r="AP9" s="791" t="e">
        <f t="array" aca="1" ref="AP9" ca="1">_xll.BDP(BD1,"low 52week")</f>
        <v>#NAME?</v>
      </c>
      <c r="AQ9" s="88" t="s">
        <v>550</v>
      </c>
      <c r="AS9" s="791" t="e">
        <f t="array" aca="1" ref="AS9" ca="1">IF(LEFT(_xll.BDP(BD1,"eqy split adj init po px","offering type override","IPO"),1)="#","",_xll.BDP(BD1,"eqy split adj init po px","offering type override","IPO"))</f>
        <v>#NAME?</v>
      </c>
      <c r="AT9" s="39"/>
      <c r="BD9" s="481">
        <f ca="1">LEN(BG9)</f>
        <v>0</v>
      </c>
      <c r="BE9" s="45"/>
      <c r="BF9" s="45" t="s">
        <v>551</v>
      </c>
      <c r="BG9" s="1077" t="str">
        <f t="array" aca="1" ref="BG9" ca="1">IFERROR(ROUND(IF(_xll.BDP(BD1,"tot common eqy","scaling format","UNT")&lt;0,"NA",_xll.BDP(BD1,"tot common eqy","scaling format","UNT")),0),"")</f>
        <v/>
      </c>
      <c r="BH9" s="1073"/>
      <c r="BI9" s="45"/>
      <c r="BJ9" s="45"/>
      <c r="BK9" s="436"/>
      <c r="BM9" s="481" t="e">
        <f ca="1">DATEVALUE(BM8)</f>
        <v>#NAME?</v>
      </c>
      <c r="BN9" s="215" t="e">
        <f ca="1">DATEVALUE(BN8)</f>
        <v>#NAME?</v>
      </c>
      <c r="BO9" s="215" t="e">
        <f ca="1">DATEVALUE(BP9)</f>
        <v>#VALUE!</v>
      </c>
      <c r="BP9" s="215" t="str">
        <f ca="1">IF(ISERROR(IF(BM9&gt;BN9,BM8,BN8)),IF(AND(ISNUMBER(BM9),ISERROR(BN9)),BM8,""),IF(BM9&gt;BN9,BM8,BN8))</f>
        <v/>
      </c>
      <c r="BQ9" s="215" t="e">
        <f ca="1">DATEVALUE(BQ8)</f>
        <v>#NAME?</v>
      </c>
      <c r="BR9" s="215" t="e">
        <f ca="1">DATEVALUE(BR8)</f>
        <v>#NAME?</v>
      </c>
      <c r="BS9" s="215" t="e">
        <f ca="1">DATEVALUE(BT9)</f>
        <v>#NAME?</v>
      </c>
      <c r="BT9" s="483" t="e">
        <f ca="1">IF(OR(BQ8="#N/A N/A",BR8="#N/A N/A"),IF(AND(BQ8="#N/A N/A",BR8="#N/A N/A"),"-",IF(BQ8="#N/A N/A",BR8,BQ8)),IF(BQ9&lt;BR9,BQ8,BR8))</f>
        <v>#NAME?</v>
      </c>
      <c r="BU9" s="47"/>
      <c r="BV9" s="788" t="e">
        <f t="array" aca="1" ref="BV9" ca="1">_xll.BDP($BD$1,"best ltg eps")</f>
        <v>#NAME?</v>
      </c>
      <c r="DX9" t="s">
        <v>552</v>
      </c>
      <c r="DY9" s="2" t="s">
        <v>553</v>
      </c>
      <c r="DZ9" s="695">
        <v>0.15</v>
      </c>
    </row>
    <row r="10" spans="1:130" ht="16" customHeight="1">
      <c r="A10" s="763" t="s">
        <v>554</v>
      </c>
      <c r="B10" s="93" t="e">
        <f t="array" aca="1" ref="B10" ca="1">_xll.BDP($BD$1,"ud gr model weights")</f>
        <v>#NAME?</v>
      </c>
      <c r="C10" s="92" t="e">
        <f t="array" aca="1" ref="C10" ca="1">_xll.BDP($BD$1,"ud explorer mw")</f>
        <v>#NAME?</v>
      </c>
      <c r="D10" s="93" t="e">
        <f t="array" aca="1" ref="D10" ca="1">_xll.BDP(BD1,"ud microcap model weight")</f>
        <v>#NAME?</v>
      </c>
      <c r="E10" s="92" t="e">
        <f t="array" aca="1" ref="E10" ca="1">_xll.BDP($BD$1,"ud go model weights")</f>
        <v>#NAME?</v>
      </c>
      <c r="F10" s="92" t="e">
        <f t="array" aca="1" ref="F10" ca="1">_xll.BDP(BD1,"ud cv mw")</f>
        <v>#NAME?</v>
      </c>
      <c r="G10" s="93" t="e">
        <f t="array" aca="1" ref="G10" ca="1">_xll.BDP(BD1,"ud io model weights")</f>
        <v>#NAME?</v>
      </c>
      <c r="H10" s="92" t="e">
        <f t="array" aca="1" ref="H10" ca="1">_xll.BDP(BD1,"ud eo model weights")</f>
        <v>#NAME?</v>
      </c>
      <c r="I10" s="79" t="e">
        <f t="array" aca="1" ref="I10" ca="1">_xll.BDP(BD1,"ud jp mw")</f>
        <v>#NAME?</v>
      </c>
      <c r="J10" s="92" t="e">
        <f t="array" aca="1" ref="J10" ca="1">_xll.BDP(BD1,"ud gs model weight")</f>
        <v>#NAME?</v>
      </c>
      <c r="K10" s="307" t="s">
        <v>463</v>
      </c>
      <c r="L10" s="92" t="e">
        <f t="array" aca="1" ref="L10" ca="1">_xll.BDP(BD1,"ud intl stalwarts")</f>
        <v>#NAME?</v>
      </c>
      <c r="M10" s="92" t="s">
        <v>463</v>
      </c>
      <c r="N10" s="92" t="e">
        <f t="array" aca="1" ref="N10" ca="1">_xll.BDP(BD1,"ud us opportunities model weig")</f>
        <v>#NAME?</v>
      </c>
      <c r="O10" s="92" t="s">
        <v>463</v>
      </c>
      <c r="P10" s="93" t="s">
        <v>463</v>
      </c>
      <c r="Q10" s="92" t="s">
        <v>463</v>
      </c>
      <c r="R10" s="79" t="s">
        <v>463</v>
      </c>
      <c r="S10" t="s">
        <v>463</v>
      </c>
      <c r="T10" s="257" t="s">
        <v>555</v>
      </c>
      <c r="U10" s="258" t="s">
        <v>556</v>
      </c>
      <c r="V10" s="259" t="s">
        <v>557</v>
      </c>
      <c r="W10" s="206" t="s">
        <v>558</v>
      </c>
      <c r="X10" s="702" t="str">
        <f ca="1">IFERROR((X7-T30)/ABS(T30),"")</f>
        <v/>
      </c>
      <c r="Y10" s="780" t="str">
        <f ca="1">IFERROR($AY$31/AH107,"")</f>
        <v/>
      </c>
      <c r="Z10" s="700" t="e">
        <f ca="1">T35</f>
        <v>#NAME?</v>
      </c>
      <c r="AA10" s="780" t="str">
        <f ca="1">IFERROR($AY$31/Z10,"")</f>
        <v/>
      </c>
      <c r="AB10" s="702" t="str">
        <f ca="1">IFERROR((AB7-X30)/ABS(X30),"")</f>
        <v/>
      </c>
      <c r="AC10" s="780" t="str">
        <f ca="1">AO107</f>
        <v/>
      </c>
      <c r="AD10" s="699" t="e">
        <f ca="1">DJ35</f>
        <v>#NAME?</v>
      </c>
      <c r="AE10" s="784" t="str">
        <f ca="1">IFERROR($AY$31/AK107,"")</f>
        <v/>
      </c>
      <c r="AF10" s="698" t="e">
        <f ca="1">AC35</f>
        <v>#NAME?</v>
      </c>
      <c r="AG10" s="784" t="str">
        <f ca="1">IFERROR($AY$31/AF10,"")</f>
        <v/>
      </c>
      <c r="AH10" s="785" t="e">
        <f t="array" aca="1" ref="AH10" ca="1">_xll.BDP($BD$1,"best roa","best fperiod override","4FY","best consolidated override",$AY$98,"eqy fund crncy",$B$13)</f>
        <v>#NAME?</v>
      </c>
      <c r="AI10" s="786" t="e">
        <f t="array" aca="1" ref="AI10" ca="1">_xll.BDP($BD$1,"best roe","best fperiod override","4FY","best consolidated override",$AY$98,"eqy fund crncy",$B$13)</f>
        <v>#NAME?</v>
      </c>
      <c r="AJ10" t="s">
        <v>463</v>
      </c>
      <c r="AK10" s="88" t="s">
        <v>559</v>
      </c>
      <c r="AL10" s="784" t="str">
        <f ca="1">BV11</f>
        <v/>
      </c>
      <c r="AM10" s="62" t="s">
        <v>560</v>
      </c>
      <c r="AN10" s="792" t="e">
        <f t="array" aca="1" ref="AN10" ca="1">_xll.BDP(BD1,"chg pct 3m")*1</f>
        <v>#NAME?</v>
      </c>
      <c r="AO10" s="793" t="e">
        <f t="array" aca="1" ref="AO10" ca="1">DATEVALUE(_xll.BDP(BD1,"high dt 52week"))</f>
        <v>#NAME?</v>
      </c>
      <c r="AP10" s="794" t="e">
        <f t="array" aca="1" ref="AP10" ca="1">DATEVALUE(_xll.BDP(BD1,"low dt 52week"))</f>
        <v>#NAME?</v>
      </c>
      <c r="AQ10" s="88" t="s">
        <v>561</v>
      </c>
      <c r="AS10" s="784" t="str">
        <f ca="1">IFERROR(AG31/AS9-1,"")</f>
        <v/>
      </c>
      <c r="AT10" s="39"/>
      <c r="BD10" s="481" t="e">
        <f ca="1">LEN(BG10)</f>
        <v>#NAME?</v>
      </c>
      <c r="BE10" s="45"/>
      <c r="BF10" s="45" t="s">
        <v>562</v>
      </c>
      <c r="BG10" s="1077" t="e">
        <f t="array" aca="1" ref="BG10" ca="1">_xll.BDP(BD1,"is sh for diluted eps","scaling format","UNT")</f>
        <v>#NAME?</v>
      </c>
      <c r="BH10" s="1073"/>
      <c r="BI10" s="215" t="s">
        <v>563</v>
      </c>
      <c r="BJ10" s="1087">
        <v>1000000</v>
      </c>
      <c r="BK10" s="1088"/>
      <c r="BM10" s="449"/>
      <c r="BN10" s="45"/>
      <c r="BO10" s="45"/>
      <c r="BP10" s="45"/>
      <c r="BQ10" s="45"/>
      <c r="BR10" s="45"/>
      <c r="BS10" s="45"/>
      <c r="BT10" s="436"/>
      <c r="BV10" s="795" t="e">
        <f t="array" aca="1" ref="BV10" ca="1">_xll.BDP($BD$1,"ddm long growth rate override")</f>
        <v>#NAME?</v>
      </c>
      <c r="DX10" t="s">
        <v>564</v>
      </c>
      <c r="DY10" s="2" t="s">
        <v>565</v>
      </c>
      <c r="DZ10" s="695">
        <v>0.25</v>
      </c>
    </row>
    <row r="11" spans="1:130" s="46" customFormat="1" ht="16" customHeight="1" thickBot="1">
      <c r="A11" s="703" t="s">
        <v>566</v>
      </c>
      <c r="B11" s="796" t="str">
        <f ca="1">IFERROR((BL2*0.001)/$AH$4,"-")</f>
        <v>-</v>
      </c>
      <c r="C11" s="797"/>
      <c r="D11" s="796" t="str">
        <f t="shared" ref="D11:J11" ca="1" si="0">IFERROR((BN2*0.001)/$AH$4,"-")</f>
        <v>-</v>
      </c>
      <c r="E11" s="797" t="str">
        <f t="shared" ca="1" si="0"/>
        <v>-</v>
      </c>
      <c r="F11" s="797" t="str">
        <f t="shared" ca="1" si="0"/>
        <v>-</v>
      </c>
      <c r="G11" s="796" t="str">
        <f t="shared" ca="1" si="0"/>
        <v>-</v>
      </c>
      <c r="H11" s="797" t="str">
        <f t="shared" ca="1" si="0"/>
        <v>-</v>
      </c>
      <c r="I11" s="798" t="str">
        <f t="shared" ca="1" si="0"/>
        <v>-</v>
      </c>
      <c r="J11" s="797" t="str">
        <f t="shared" ca="1" si="0"/>
        <v>-</v>
      </c>
      <c r="K11" s="222"/>
      <c r="L11" s="797" t="str">
        <f ca="1">IFERROR((BV2*0.001)/$AH$4,"-")</f>
        <v>-</v>
      </c>
      <c r="M11" s="797"/>
      <c r="N11" s="797" t="str">
        <f ca="1">IFERROR((BX2*0.001)/$AH$4,"-")</f>
        <v>-</v>
      </c>
      <c r="O11" s="797"/>
      <c r="P11" s="796" t="str">
        <f ca="1">IFERROR((BZ2*0.001)/$AH$4,"-")</f>
        <v>-</v>
      </c>
      <c r="Q11" s="797" t="str">
        <f ca="1">IFERROR((CA2*0.001)/$AH$4,"-")</f>
        <v>-</v>
      </c>
      <c r="R11" s="798"/>
      <c r="T11" s="251" t="str">
        <f ca="1">IFERROR(AJ31/(AC44+E94*100),"")</f>
        <v/>
      </c>
      <c r="U11" s="252" t="str">
        <f ca="1">IFERROR(AG7/(AC45+E94*100),"")</f>
        <v/>
      </c>
      <c r="V11" s="253" t="str">
        <f ca="1">IFERROR(AG8/(AC46+E94*100),"")</f>
        <v/>
      </c>
      <c r="W11" s="214" t="s">
        <v>567</v>
      </c>
      <c r="X11" s="704" t="str">
        <f ca="1">IFERROR((X8-X7)/ABS(X7),"")</f>
        <v/>
      </c>
      <c r="Y11" s="799" t="str">
        <f ca="1">IFERROR($AY$31/AH108,"")</f>
        <v/>
      </c>
      <c r="Z11" s="705" t="e">
        <f ca="1">T36</f>
        <v>#NAME?</v>
      </c>
      <c r="AA11" s="799" t="str">
        <f ca="1">IFERROR($AY$31/Z11,"")</f>
        <v/>
      </c>
      <c r="AB11" s="704" t="str">
        <f ca="1">IFERROR((AB8-AB7)/ABS(AB7),"")</f>
        <v/>
      </c>
      <c r="AC11" s="799" t="str">
        <f ca="1">AO108</f>
        <v/>
      </c>
      <c r="AD11" s="706" t="e">
        <f ca="1">DJ36</f>
        <v>#NAME?</v>
      </c>
      <c r="AE11" s="798" t="str">
        <f ca="1">IFERROR($AY$31/AK108,"")</f>
        <v/>
      </c>
      <c r="AF11" s="707" t="e">
        <f ca="1">AC36</f>
        <v>#NAME?</v>
      </c>
      <c r="AG11" s="798" t="str">
        <f ca="1">IFERROR($AY$31/AF11,"")</f>
        <v/>
      </c>
      <c r="AH11" s="800" t="e">
        <f t="array" aca="1" ref="AH11" ca="1">_xll.BDP($BD$1,"best roa","best fperiod override","5FY","best consolidated override",$AY$98,"eqy fund crncy",$B$13)</f>
        <v>#NAME?</v>
      </c>
      <c r="AI11" s="801" t="e">
        <f t="array" aca="1" ref="AI11" ca="1">_xll.BDP($BD$1,"best roe","best fperiod override","5FY","best consolidated override",$AY$98,"eqy fund crncy",$B$13)</f>
        <v>#NAME?</v>
      </c>
      <c r="AJ11" s="46" t="s">
        <v>463</v>
      </c>
      <c r="AK11" s="91" t="s">
        <v>568</v>
      </c>
      <c r="AL11" s="798" t="str">
        <f ca="1">IFERROR(AH31/AL10,"")</f>
        <v/>
      </c>
      <c r="AM11" s="160" t="s">
        <v>569</v>
      </c>
      <c r="AN11" s="802" t="e">
        <f t="array" aca="1" ref="AN11" ca="1">_xll.BDP(BD1,"chg pct 1yr")*1</f>
        <v>#NAME?</v>
      </c>
      <c r="AO11" s="708" t="e">
        <f ca="1">AG31/AO9-1</f>
        <v>#NAME?</v>
      </c>
      <c r="AP11" s="709" t="e">
        <f ca="1">AG31/AP9-1</f>
        <v>#NAME?</v>
      </c>
      <c r="AQ11" s="91" t="s">
        <v>570</v>
      </c>
      <c r="AR11" s="753"/>
      <c r="AS11" s="798" t="e">
        <f t="array" aca="1" ref="AS11" ca="1">IF(LEFT(_xll.BDP(BD1,"short int ratio"),1)="#","",_xll.BDP(BD1,"short int ratio"))</f>
        <v>#NAME?</v>
      </c>
      <c r="BD11" s="473"/>
      <c r="BE11" s="420"/>
      <c r="BF11" s="420" t="s">
        <v>571</v>
      </c>
      <c r="BG11" s="1082" t="e">
        <f ca="1">IF(OR(BD8&gt;=15,BD9&gt;=15),1000000,IF(OR(BD8&gt;=12,BD9&gt;=12),1000,1))</f>
        <v>#NAME?</v>
      </c>
      <c r="BH11" s="1083"/>
      <c r="BI11" s="420"/>
      <c r="BJ11" s="420"/>
      <c r="BK11" s="474"/>
      <c r="BM11" s="473" t="s">
        <v>572</v>
      </c>
      <c r="BN11" s="420" t="e">
        <f t="array" aca="1" ref="BN11" ca="1">_xll.BDP($BD$1,"fundamental public date","fund per","Y")</f>
        <v>#NAME?</v>
      </c>
      <c r="BO11" s="484"/>
      <c r="BP11" s="484"/>
      <c r="BQ11" s="484"/>
      <c r="BR11" s="484"/>
      <c r="BS11" s="484"/>
      <c r="BT11" s="485"/>
      <c r="BV11" s="803" t="str">
        <f ca="1">IF(ISNUMBER(BV8),BV8,IF(ISNUMBER(BV9),BV9,IF(ISNUMBER(BV10),BV10,"")))</f>
        <v/>
      </c>
      <c r="DB11" s="19" t="str">
        <f ca="1">IF(CW12=1,"GP",IF(CX12=1,"Adj",IF(CY12=1,"Adj",IF(CZ12=1,"Adj",IF(DA12=1,"","Adj")))))</f>
        <v>Adj</v>
      </c>
      <c r="DI11" s="19" t="str">
        <f ca="1">IF($DC$12=1,"GP",IF($DD$12=1,"Adj",IF($DE$12=1,"Adj",IF($DF$12=1,"AdJ",IF($DG$12=1,"Adj",IF($DH$12=1,"",""))))))</f>
        <v>AdJ</v>
      </c>
      <c r="DN11" s="19" t="str">
        <f ca="1">IF(DJ12=1,"GP",IF(DK12=1,"CO",IF(DL12=1,"AFFO",IF(DM12=1,"FFO",""))))</f>
        <v/>
      </c>
      <c r="DX11" t="s">
        <v>573</v>
      </c>
      <c r="DY11" s="2" t="s">
        <v>574</v>
      </c>
      <c r="DZ11" s="695">
        <v>0</v>
      </c>
    </row>
    <row r="12" spans="1:130" s="46" customFormat="1" ht="16" customHeight="1" thickBot="1">
      <c r="A12" s="710"/>
      <c r="B12" s="804"/>
      <c r="C12" s="804"/>
      <c r="D12" s="804"/>
      <c r="E12" s="804"/>
      <c r="F12" s="804"/>
      <c r="G12" s="804"/>
      <c r="H12" s="805"/>
      <c r="I12" s="805"/>
      <c r="J12" s="805"/>
      <c r="K12" s="805"/>
      <c r="L12" s="805"/>
      <c r="M12" s="805"/>
      <c r="N12" s="805"/>
      <c r="O12" s="805"/>
      <c r="P12" s="805"/>
      <c r="Q12" s="805"/>
      <c r="R12" s="805"/>
      <c r="T12" s="283"/>
      <c r="U12" s="283"/>
      <c r="V12" s="283"/>
      <c r="W12" s="269"/>
      <c r="X12" s="693"/>
      <c r="Y12" s="806"/>
      <c r="Z12" s="699"/>
      <c r="AA12" s="806"/>
      <c r="AB12" s="693"/>
      <c r="AC12" s="780"/>
      <c r="AD12" s="699"/>
      <c r="AE12" s="805"/>
      <c r="AF12" s="711"/>
      <c r="AG12" s="805"/>
      <c r="AH12" s="807"/>
      <c r="AI12" s="807"/>
      <c r="AJ12" s="86"/>
      <c r="AL12" s="805"/>
      <c r="AM12" s="61"/>
      <c r="AN12" s="808"/>
      <c r="AO12" s="712"/>
      <c r="AP12" s="712"/>
      <c r="AQ12" s="86"/>
      <c r="AS12" s="804"/>
      <c r="AY12" s="47" t="s">
        <v>575</v>
      </c>
      <c r="BT12" s="47">
        <v>1</v>
      </c>
      <c r="BU12" s="47">
        <v>2</v>
      </c>
      <c r="BV12" s="47" t="s">
        <v>576</v>
      </c>
      <c r="CW12" s="47">
        <f ca="1">IF(ISNUMBER(CW30),1,0)</f>
        <v>0</v>
      </c>
      <c r="CX12" s="47">
        <f>IF(ISNUMBER(CX30),1,0)</f>
        <v>0</v>
      </c>
      <c r="CY12" s="47">
        <f>IF(ISNUMBER(CY30),1,0)</f>
        <v>0</v>
      </c>
      <c r="CZ12" s="47"/>
      <c r="DA12" s="47">
        <f>IF(ISNUMBER(DA30),1,0)</f>
        <v>0</v>
      </c>
      <c r="DB12" s="15" t="str">
        <f ca="1">IF(CW12=1,"EBITDA",IF(CX12=1,"EBITDA",IF(CY12=1,"EBITDA",IF(CZ12=1,"FFO",IF(DA12=1,"FFO","EBITDA")))))</f>
        <v>EBITDA</v>
      </c>
      <c r="DC12" s="47">
        <f t="shared" ref="DC12:DH12" ca="1" si="1">IF(ISNUMBER(DC30),1,0)</f>
        <v>0</v>
      </c>
      <c r="DD12" s="47">
        <f t="shared" si="1"/>
        <v>0</v>
      </c>
      <c r="DE12" s="47">
        <f t="shared" si="1"/>
        <v>0</v>
      </c>
      <c r="DF12" s="47">
        <f t="shared" si="1"/>
        <v>1</v>
      </c>
      <c r="DG12" s="47">
        <f t="shared" si="1"/>
        <v>1</v>
      </c>
      <c r="DH12" s="47">
        <f t="shared" si="1"/>
        <v>0</v>
      </c>
      <c r="DI12" s="385" t="str">
        <f ca="1">IF($DC$12=1,"EBITA2",IF($DD$12=1,"EBITA",IF($DE$12=1,"EBITA",IF($DF$12=1,"EBIT",IF($DG$12=1,"EBIT",IF($DH$12=1,"FFO",""))))))</f>
        <v>EBIT</v>
      </c>
      <c r="DJ12" s="47">
        <f ca="1">IF(ISNUMBER(DJ30),1,0)</f>
        <v>0</v>
      </c>
      <c r="DK12" s="47">
        <f>IF(ISNUMBER(DK30),1,0)</f>
        <v>0</v>
      </c>
      <c r="DL12" s="47">
        <f>IF(ISNUMBER(DL30),1,0)</f>
        <v>0</v>
      </c>
      <c r="DM12" s="47">
        <f>IF(ISNUMBER(DM30),1,0)</f>
        <v>0</v>
      </c>
      <c r="DN12" s="15" t="str">
        <f ca="1">IF(DJ12=1,"EPS2",IF(DK12=1,"Adj EPS",IF(DL12=1,"/Shr",IF(DM12=1,"/Shr",""))))</f>
        <v/>
      </c>
      <c r="DX12" t="s">
        <v>577</v>
      </c>
      <c r="DY12" s="2" t="s">
        <v>578</v>
      </c>
      <c r="DZ12" s="695">
        <v>7.4999999999999997E-2</v>
      </c>
    </row>
    <row r="13" spans="1:130" ht="16" customHeight="1">
      <c r="A13" s="63" t="s">
        <v>463</v>
      </c>
      <c r="B13" s="64" t="e">
        <f ca="1">BJ4</f>
        <v>#NAME?</v>
      </c>
      <c r="C13" s="65"/>
      <c r="D13" s="65"/>
      <c r="E13" s="65"/>
      <c r="F13" s="65"/>
      <c r="G13" s="65"/>
      <c r="H13" s="63"/>
      <c r="I13" s="66"/>
      <c r="J13" s="67" t="s">
        <v>579</v>
      </c>
      <c r="K13" s="65"/>
      <c r="L13" s="65"/>
      <c r="M13" s="65"/>
      <c r="N13" s="65"/>
      <c r="O13" s="65"/>
      <c r="P13" s="67"/>
      <c r="Q13" s="65" t="s">
        <v>580</v>
      </c>
      <c r="R13" s="64"/>
      <c r="S13" s="67" t="str">
        <f>DK46</f>
        <v>FD</v>
      </c>
      <c r="T13" s="67" t="str">
        <f>DN46</f>
        <v>FD</v>
      </c>
      <c r="U13" s="64" t="str">
        <f ca="1">DB11</f>
        <v>Adj</v>
      </c>
      <c r="V13" s="67"/>
      <c r="W13" s="67" t="str">
        <f ca="1">DI11</f>
        <v>AdJ</v>
      </c>
      <c r="X13" s="67" t="str">
        <f ca="1">DN11</f>
        <v/>
      </c>
      <c r="Y13" s="64" t="s">
        <v>581</v>
      </c>
      <c r="Z13" s="67" t="s">
        <v>582</v>
      </c>
      <c r="AA13" s="67" t="s">
        <v>503</v>
      </c>
      <c r="AB13" s="67"/>
      <c r="AC13" s="68" t="s">
        <v>503</v>
      </c>
      <c r="AD13" s="64" t="s">
        <v>583</v>
      </c>
      <c r="AE13" s="65"/>
      <c r="AF13" s="66"/>
      <c r="AG13" s="64" t="e">
        <f ca="1">BJ3</f>
        <v>#NAME?</v>
      </c>
      <c r="AH13" s="65"/>
      <c r="AI13" s="67" t="s">
        <v>504</v>
      </c>
      <c r="AJ13" s="67" t="s">
        <v>504</v>
      </c>
      <c r="AK13" s="67" t="s">
        <v>584</v>
      </c>
      <c r="AL13" s="67" t="s">
        <v>585</v>
      </c>
      <c r="AM13" s="67" t="s">
        <v>586</v>
      </c>
      <c r="AN13" s="67" t="s">
        <v>585</v>
      </c>
      <c r="AO13" s="67" t="s">
        <v>585</v>
      </c>
      <c r="AP13" s="67" t="s">
        <v>585</v>
      </c>
      <c r="AQ13" s="65"/>
      <c r="AR13" s="65"/>
      <c r="AS13" s="68" t="s">
        <v>587</v>
      </c>
      <c r="AU13" s="487" t="s">
        <v>588</v>
      </c>
      <c r="AV13" s="345" t="s">
        <v>588</v>
      </c>
      <c r="AW13" s="488" t="s">
        <v>588</v>
      </c>
      <c r="AX13" s="488" t="s">
        <v>585</v>
      </c>
      <c r="AY13" s="524" t="e">
        <f ca="1">BJ4</f>
        <v>#NAME?</v>
      </c>
      <c r="AZ13" s="458"/>
      <c r="BA13" s="459"/>
      <c r="BB13" s="460"/>
      <c r="BC13" s="397" t="s">
        <v>589</v>
      </c>
      <c r="BD13" s="334"/>
      <c r="BE13" s="321" t="s">
        <v>590</v>
      </c>
      <c r="BF13" s="321" t="s">
        <v>591</v>
      </c>
      <c r="BG13" s="335"/>
      <c r="BH13" s="335"/>
      <c r="BI13" s="335"/>
      <c r="BJ13" s="321" t="s">
        <v>592</v>
      </c>
      <c r="BK13" s="321" t="s">
        <v>593</v>
      </c>
      <c r="BL13" s="321" t="s">
        <v>594</v>
      </c>
      <c r="BM13" s="353" t="s">
        <v>584</v>
      </c>
      <c r="BN13" s="334"/>
      <c r="BO13" s="335"/>
      <c r="BP13" s="335"/>
      <c r="BQ13" s="321" t="s">
        <v>595</v>
      </c>
      <c r="BR13" s="321" t="s">
        <v>11</v>
      </c>
      <c r="BS13" s="365"/>
      <c r="BT13" s="363" t="s">
        <v>596</v>
      </c>
      <c r="BU13" s="363" t="s">
        <v>596</v>
      </c>
      <c r="BV13" s="321" t="s">
        <v>596</v>
      </c>
      <c r="BW13" s="321"/>
      <c r="BX13" s="321" t="s">
        <v>590</v>
      </c>
      <c r="BY13" s="353" t="s">
        <v>597</v>
      </c>
      <c r="BZ13" s="320" t="s">
        <v>598</v>
      </c>
      <c r="CA13" s="321" t="s">
        <v>599</v>
      </c>
      <c r="CB13" s="335"/>
      <c r="CC13" s="321" t="s">
        <v>580</v>
      </c>
      <c r="CD13" s="321" t="s">
        <v>590</v>
      </c>
      <c r="CE13" s="353" t="s">
        <v>600</v>
      </c>
      <c r="CF13" s="373"/>
      <c r="CG13" s="335"/>
      <c r="CH13" s="374" t="s">
        <v>601</v>
      </c>
      <c r="CI13" s="335"/>
      <c r="CJ13" s="374" t="s">
        <v>602</v>
      </c>
      <c r="CK13" s="337"/>
      <c r="CL13" s="320" t="s">
        <v>503</v>
      </c>
      <c r="CM13" s="321"/>
      <c r="CN13" s="321" t="s">
        <v>603</v>
      </c>
      <c r="CO13" s="335"/>
      <c r="CP13" s="321" t="s">
        <v>503</v>
      </c>
      <c r="CQ13" s="353" t="s">
        <v>585</v>
      </c>
      <c r="CR13" s="320" t="s">
        <v>604</v>
      </c>
      <c r="CS13" s="321" t="s">
        <v>605</v>
      </c>
      <c r="CT13" s="379"/>
      <c r="CU13" s="321"/>
      <c r="CV13" s="353"/>
      <c r="CW13" s="320" t="s">
        <v>503</v>
      </c>
      <c r="CX13" s="321" t="s">
        <v>606</v>
      </c>
      <c r="CY13" s="321" t="s">
        <v>606</v>
      </c>
      <c r="CZ13" s="321"/>
      <c r="DA13" s="335"/>
      <c r="DB13" s="322" t="s">
        <v>607</v>
      </c>
      <c r="DC13" s="320" t="s">
        <v>503</v>
      </c>
      <c r="DD13" s="321" t="s">
        <v>590</v>
      </c>
      <c r="DE13" s="321" t="s">
        <v>590</v>
      </c>
      <c r="DF13" s="321" t="s">
        <v>590</v>
      </c>
      <c r="DG13" s="321" t="s">
        <v>590</v>
      </c>
      <c r="DH13" s="335"/>
      <c r="DI13" s="322" t="s">
        <v>608</v>
      </c>
      <c r="DJ13" s="320" t="s">
        <v>503</v>
      </c>
      <c r="DK13" s="321" t="s">
        <v>609</v>
      </c>
      <c r="DL13" s="335"/>
      <c r="DM13" s="321" t="s">
        <v>610</v>
      </c>
      <c r="DN13" s="337"/>
      <c r="DO13" s="334" t="s">
        <v>611</v>
      </c>
      <c r="DP13" s="335" t="s">
        <v>612</v>
      </c>
      <c r="DQ13" s="335" t="s">
        <v>612</v>
      </c>
      <c r="DR13" s="337"/>
      <c r="DS13" s="320" t="s">
        <v>582</v>
      </c>
      <c r="DT13" s="322" t="s">
        <v>582</v>
      </c>
      <c r="DU13" s="320" t="s">
        <v>613</v>
      </c>
      <c r="DV13" s="322" t="s">
        <v>613</v>
      </c>
      <c r="DX13" t="s">
        <v>614</v>
      </c>
      <c r="DY13" s="2" t="s">
        <v>615</v>
      </c>
      <c r="DZ13" s="695">
        <v>0</v>
      </c>
    </row>
    <row r="14" spans="1:130" ht="16" customHeight="1">
      <c r="A14" s="69" t="s">
        <v>616</v>
      </c>
      <c r="B14" s="69" t="s">
        <v>540</v>
      </c>
      <c r="C14" s="70" t="s">
        <v>617</v>
      </c>
      <c r="D14" s="70" t="s">
        <v>618</v>
      </c>
      <c r="E14" s="70" t="s">
        <v>619</v>
      </c>
      <c r="F14" s="70" t="s">
        <v>620</v>
      </c>
      <c r="G14" s="70" t="s">
        <v>621</v>
      </c>
      <c r="H14" s="69" t="s">
        <v>622</v>
      </c>
      <c r="I14" s="71" t="s">
        <v>621</v>
      </c>
      <c r="J14" s="69" t="s">
        <v>623</v>
      </c>
      <c r="K14" s="70" t="s">
        <v>624</v>
      </c>
      <c r="L14" s="70" t="s">
        <v>625</v>
      </c>
      <c r="M14" s="70" t="s">
        <v>621</v>
      </c>
      <c r="N14" s="70" t="s">
        <v>626</v>
      </c>
      <c r="O14" s="70" t="s">
        <v>627</v>
      </c>
      <c r="P14" s="70" t="s">
        <v>621</v>
      </c>
      <c r="Q14" s="70" t="s">
        <v>628</v>
      </c>
      <c r="R14" s="69" t="s">
        <v>629</v>
      </c>
      <c r="S14" s="70" t="s">
        <v>630</v>
      </c>
      <c r="T14" s="70" t="s">
        <v>602</v>
      </c>
      <c r="U14" s="69" t="str">
        <f ca="1">DB12</f>
        <v>EBITDA</v>
      </c>
      <c r="V14" s="70" t="s">
        <v>621</v>
      </c>
      <c r="W14" s="70" t="str">
        <f ca="1">DI12</f>
        <v>EBIT</v>
      </c>
      <c r="X14" s="70" t="str">
        <f ca="1">DN12</f>
        <v/>
      </c>
      <c r="Y14" s="318" t="s">
        <v>631</v>
      </c>
      <c r="Z14" s="70" t="s">
        <v>632</v>
      </c>
      <c r="AA14" s="70" t="s">
        <v>601</v>
      </c>
      <c r="AB14" s="70" t="s">
        <v>621</v>
      </c>
      <c r="AC14" s="71" t="s">
        <v>518</v>
      </c>
      <c r="AD14" s="69" t="s">
        <v>633</v>
      </c>
      <c r="AE14" s="70" t="s">
        <v>634</v>
      </c>
      <c r="AF14" s="71" t="s">
        <v>635</v>
      </c>
      <c r="AG14" s="69" t="s">
        <v>604</v>
      </c>
      <c r="AH14" s="70" t="s">
        <v>515</v>
      </c>
      <c r="AI14" s="70" t="s">
        <v>516</v>
      </c>
      <c r="AJ14" s="70" t="s">
        <v>518</v>
      </c>
      <c r="AK14" s="70" t="s">
        <v>515</v>
      </c>
      <c r="AL14" s="70" t="s">
        <v>620</v>
      </c>
      <c r="AM14" s="70" t="s">
        <v>620</v>
      </c>
      <c r="AN14" s="70" t="s">
        <v>622</v>
      </c>
      <c r="AO14" s="70" t="s">
        <v>601</v>
      </c>
      <c r="AP14" s="70" t="s">
        <v>636</v>
      </c>
      <c r="AQ14" s="70" t="s">
        <v>637</v>
      </c>
      <c r="AR14" s="70" t="s">
        <v>638</v>
      </c>
      <c r="AS14" s="71" t="s">
        <v>639</v>
      </c>
      <c r="AU14" s="490" t="s">
        <v>540</v>
      </c>
      <c r="AV14" s="174" t="s">
        <v>602</v>
      </c>
      <c r="AW14" s="59" t="s">
        <v>604</v>
      </c>
      <c r="AX14" s="59" t="s">
        <v>587</v>
      </c>
      <c r="AY14" s="296" t="s">
        <v>604</v>
      </c>
      <c r="AZ14" s="166"/>
      <c r="BA14" s="58"/>
      <c r="BB14" s="461"/>
      <c r="BC14" s="398" t="s">
        <v>640</v>
      </c>
      <c r="BD14" s="323" t="s">
        <v>630</v>
      </c>
      <c r="BE14" s="4" t="s">
        <v>641</v>
      </c>
      <c r="BF14" s="4" t="s">
        <v>641</v>
      </c>
      <c r="BG14" s="4" t="s">
        <v>641</v>
      </c>
      <c r="BH14" s="4" t="s">
        <v>642</v>
      </c>
      <c r="BI14" s="4" t="s">
        <v>643</v>
      </c>
      <c r="BJ14" s="4" t="s">
        <v>644</v>
      </c>
      <c r="BK14" s="4" t="s">
        <v>604</v>
      </c>
      <c r="BL14" s="4" t="s">
        <v>602</v>
      </c>
      <c r="BM14" s="354" t="s">
        <v>515</v>
      </c>
      <c r="BN14" s="323" t="s">
        <v>533</v>
      </c>
      <c r="BO14" s="4" t="s">
        <v>645</v>
      </c>
      <c r="BP14" s="4" t="s">
        <v>646</v>
      </c>
      <c r="BQ14" s="4" t="s">
        <v>551</v>
      </c>
      <c r="BR14" s="4" t="s">
        <v>647</v>
      </c>
      <c r="BS14" s="366" t="s">
        <v>593</v>
      </c>
      <c r="BT14" s="37" t="s">
        <v>648</v>
      </c>
      <c r="BU14" s="37" t="s">
        <v>648</v>
      </c>
      <c r="BV14" s="4" t="s">
        <v>648</v>
      </c>
      <c r="BW14" s="4" t="s">
        <v>620</v>
      </c>
      <c r="BX14" s="4" t="s">
        <v>620</v>
      </c>
      <c r="BY14" s="354" t="s">
        <v>620</v>
      </c>
      <c r="BZ14" s="323" t="s">
        <v>647</v>
      </c>
      <c r="CA14" s="4" t="s">
        <v>647</v>
      </c>
      <c r="CB14" s="4" t="s">
        <v>649</v>
      </c>
      <c r="CC14" s="4" t="s">
        <v>649</v>
      </c>
      <c r="CD14" s="4" t="s">
        <v>607</v>
      </c>
      <c r="CE14" s="354" t="s">
        <v>620</v>
      </c>
      <c r="CF14" s="375" t="s">
        <v>650</v>
      </c>
      <c r="CG14" s="753"/>
      <c r="CH14" s="4" t="s">
        <v>499</v>
      </c>
      <c r="CI14" s="4" t="s">
        <v>2</v>
      </c>
      <c r="CJ14" s="4" t="s">
        <v>499</v>
      </c>
      <c r="CK14" s="324" t="s">
        <v>2</v>
      </c>
      <c r="CL14" s="323" t="s">
        <v>630</v>
      </c>
      <c r="CM14" s="4" t="s">
        <v>533</v>
      </c>
      <c r="CN14" s="4" t="s">
        <v>590</v>
      </c>
      <c r="CO14" s="4" t="s">
        <v>603</v>
      </c>
      <c r="CP14" s="4" t="s">
        <v>601</v>
      </c>
      <c r="CQ14" s="354" t="s">
        <v>601</v>
      </c>
      <c r="CR14" s="323" t="s">
        <v>651</v>
      </c>
      <c r="CS14" s="4" t="s">
        <v>651</v>
      </c>
      <c r="CT14" s="277" t="s">
        <v>638</v>
      </c>
      <c r="CU14" s="4"/>
      <c r="CV14" s="354" t="s">
        <v>652</v>
      </c>
      <c r="CW14" s="323" t="s">
        <v>620</v>
      </c>
      <c r="CX14" s="4" t="s">
        <v>653</v>
      </c>
      <c r="CY14" s="4" t="s">
        <v>607</v>
      </c>
      <c r="CZ14" s="2"/>
      <c r="DA14" s="4" t="s">
        <v>654</v>
      </c>
      <c r="DB14" s="324" t="s">
        <v>655</v>
      </c>
      <c r="DC14" s="339" t="s">
        <v>608</v>
      </c>
      <c r="DD14" s="2" t="s">
        <v>656</v>
      </c>
      <c r="DE14" s="2" t="s">
        <v>657</v>
      </c>
      <c r="DF14" s="2" t="s">
        <v>622</v>
      </c>
      <c r="DG14" s="2" t="s">
        <v>658</v>
      </c>
      <c r="DH14" s="2" t="s">
        <v>654</v>
      </c>
      <c r="DI14" s="324" t="s">
        <v>655</v>
      </c>
      <c r="DJ14" s="323" t="s">
        <v>516</v>
      </c>
      <c r="DK14" s="4" t="s">
        <v>659</v>
      </c>
      <c r="DL14" s="4" t="s">
        <v>660</v>
      </c>
      <c r="DM14" s="4" t="s">
        <v>661</v>
      </c>
      <c r="DN14" s="324" t="s">
        <v>516</v>
      </c>
      <c r="DO14" s="377" t="s">
        <v>662</v>
      </c>
      <c r="DP14" s="753" t="s">
        <v>663</v>
      </c>
      <c r="DQ14" s="753" t="s">
        <v>664</v>
      </c>
      <c r="DR14" s="179" t="s">
        <v>665</v>
      </c>
      <c r="DS14" s="323" t="s">
        <v>666</v>
      </c>
      <c r="DT14" s="324" t="s">
        <v>667</v>
      </c>
      <c r="DU14" s="323" t="s">
        <v>643</v>
      </c>
      <c r="DV14" s="324" t="s">
        <v>668</v>
      </c>
      <c r="DX14" t="s">
        <v>669</v>
      </c>
      <c r="DY14" s="2" t="s">
        <v>670</v>
      </c>
      <c r="DZ14" s="695">
        <v>0.05</v>
      </c>
    </row>
    <row r="15" spans="1:130" ht="16" customHeight="1" outlineLevel="1">
      <c r="A15" s="72"/>
      <c r="B15" s="69" t="s">
        <v>671</v>
      </c>
      <c r="C15" s="70" t="s">
        <v>672</v>
      </c>
      <c r="D15" s="70" t="s">
        <v>673</v>
      </c>
      <c r="E15" s="70" t="s">
        <v>674</v>
      </c>
      <c r="F15" s="70" t="s">
        <v>675</v>
      </c>
      <c r="G15" s="70"/>
      <c r="H15" s="69" t="s">
        <v>676</v>
      </c>
      <c r="I15" s="71"/>
      <c r="J15" s="69" t="s">
        <v>677</v>
      </c>
      <c r="K15" s="70"/>
      <c r="L15" s="70" t="s">
        <v>678</v>
      </c>
      <c r="M15" s="70"/>
      <c r="N15" s="70" t="s">
        <v>679</v>
      </c>
      <c r="O15" s="70" t="s">
        <v>680</v>
      </c>
      <c r="P15" s="70"/>
      <c r="Q15" s="70" t="s">
        <v>681</v>
      </c>
      <c r="R15" s="69" t="s">
        <v>682</v>
      </c>
      <c r="S15" s="70"/>
      <c r="T15" s="73"/>
      <c r="U15" s="69" t="s">
        <v>683</v>
      </c>
      <c r="V15" s="70"/>
      <c r="W15" s="70"/>
      <c r="X15" s="70"/>
      <c r="Y15" s="69" t="s">
        <v>684</v>
      </c>
      <c r="Z15" s="70"/>
      <c r="AA15" s="70" t="s">
        <v>685</v>
      </c>
      <c r="AB15" s="70"/>
      <c r="AC15" s="71" t="s">
        <v>686</v>
      </c>
      <c r="AD15" s="69"/>
      <c r="AE15" s="70" t="s">
        <v>687</v>
      </c>
      <c r="AF15" s="71" t="s">
        <v>688</v>
      </c>
      <c r="AG15" s="69" t="s">
        <v>689</v>
      </c>
      <c r="AH15" s="70" t="s">
        <v>690</v>
      </c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1"/>
      <c r="AU15" s="455"/>
      <c r="AV15" s="173" t="s">
        <v>691</v>
      </c>
      <c r="AW15" s="14"/>
      <c r="AX15" s="221"/>
      <c r="AY15" s="228" t="s">
        <v>689</v>
      </c>
      <c r="AZ15" s="46"/>
      <c r="BA15" s="46"/>
      <c r="BB15" s="462"/>
      <c r="BC15" s="352" t="s">
        <v>692</v>
      </c>
      <c r="BD15" s="355"/>
      <c r="BE15" s="7" t="s">
        <v>693</v>
      </c>
      <c r="BF15" s="7"/>
      <c r="BG15" s="7"/>
      <c r="BH15" s="7" t="s">
        <v>694</v>
      </c>
      <c r="BI15" s="7" t="s">
        <v>695</v>
      </c>
      <c r="BJ15" s="7"/>
      <c r="BK15" s="7"/>
      <c r="BL15" s="7"/>
      <c r="BM15" s="356"/>
      <c r="BN15" s="325"/>
      <c r="BO15" s="23"/>
      <c r="BP15" s="23"/>
      <c r="BQ15" s="23" t="s">
        <v>696</v>
      </c>
      <c r="BR15" s="23"/>
      <c r="BS15" s="367"/>
      <c r="BT15" s="24" t="s">
        <v>697</v>
      </c>
      <c r="BU15" s="24" t="s">
        <v>698</v>
      </c>
      <c r="BV15" s="23"/>
      <c r="BW15" s="23"/>
      <c r="BX15" s="23"/>
      <c r="BY15" s="326"/>
      <c r="BZ15" s="325"/>
      <c r="CA15" s="23"/>
      <c r="CB15" s="23"/>
      <c r="CC15" s="23"/>
      <c r="CD15" s="23"/>
      <c r="CE15" s="326"/>
      <c r="CF15" s="325"/>
      <c r="CG15" s="23"/>
      <c r="CH15" s="23" t="s">
        <v>699</v>
      </c>
      <c r="CI15" s="23" t="s">
        <v>685</v>
      </c>
      <c r="CJ15" s="23" t="s">
        <v>700</v>
      </c>
      <c r="CK15" s="326" t="s">
        <v>686</v>
      </c>
      <c r="CL15" s="325" t="s">
        <v>701</v>
      </c>
      <c r="CM15" s="23"/>
      <c r="CN15" s="23" t="s">
        <v>702</v>
      </c>
      <c r="CO15" s="23"/>
      <c r="CP15" s="23"/>
      <c r="CQ15" s="326"/>
      <c r="CR15" s="325"/>
      <c r="CS15" s="23"/>
      <c r="CT15" s="23"/>
      <c r="CU15" s="23"/>
      <c r="CV15" s="326"/>
      <c r="CW15" s="325" t="s">
        <v>703</v>
      </c>
      <c r="CX15" s="22" t="s">
        <v>704</v>
      </c>
      <c r="CY15" s="23" t="s">
        <v>683</v>
      </c>
      <c r="CZ15" s="22"/>
      <c r="DA15" s="22" t="s">
        <v>705</v>
      </c>
      <c r="DB15" s="326"/>
      <c r="DC15" s="325" t="s">
        <v>706</v>
      </c>
      <c r="DD15" s="23" t="s">
        <v>707</v>
      </c>
      <c r="DE15" s="23" t="s">
        <v>708</v>
      </c>
      <c r="DF15" s="23" t="s">
        <v>709</v>
      </c>
      <c r="DG15" s="23" t="s">
        <v>710</v>
      </c>
      <c r="DH15" s="23"/>
      <c r="DI15" s="326"/>
      <c r="DJ15" s="325" t="s">
        <v>711</v>
      </c>
      <c r="DK15" s="23" t="s">
        <v>712</v>
      </c>
      <c r="DL15" s="745" t="s">
        <v>713</v>
      </c>
      <c r="DM15" s="745" t="s">
        <v>714</v>
      </c>
      <c r="DN15" s="326"/>
      <c r="DO15" s="325" t="s">
        <v>715</v>
      </c>
      <c r="DP15" s="23" t="s">
        <v>716</v>
      </c>
      <c r="DQ15" s="23" t="s">
        <v>717</v>
      </c>
      <c r="DR15" s="326" t="s">
        <v>665</v>
      </c>
      <c r="DS15" s="338" t="s">
        <v>681</v>
      </c>
      <c r="DT15" s="765" t="s">
        <v>718</v>
      </c>
      <c r="DU15" s="338" t="s">
        <v>719</v>
      </c>
      <c r="DV15" s="765"/>
      <c r="DW15" t="s">
        <v>463</v>
      </c>
      <c r="DX15" t="s">
        <v>720</v>
      </c>
      <c r="DY15" s="2" t="s">
        <v>721</v>
      </c>
      <c r="DZ15" s="695">
        <v>0.15</v>
      </c>
    </row>
    <row r="16" spans="1:130" ht="16" customHeight="1">
      <c r="A16" s="809" t="e">
        <f ca="1">_xll.BDH($BD$1,B15,$BJ$1,$BJ$2,"EQY_CONSOLIDATED="&amp;$CS$3,"Points="&amp;$BG$2,"Per="&amp;$BG$1,"Dir=V","Fill=b","Dts=S","FX="&amp;$BJ$4,"scaling format",$BI$8,"cols=2;rows=15")</f>
        <v>#NAME?</v>
      </c>
      <c r="B16" s="810">
        <v>147.89099999999999</v>
      </c>
      <c r="C16" s="775" t="e">
        <f ca="1">_xll.BDH($BD$1,C15,$BJ$1,$BJ$2,"EQY_CONSOLIDATED="&amp;$CS$3,"Points="&amp;$BG$2,"Per="&amp;$BG$1,"Dir=V","Fill=b","Dts=H","FX="&amp;$BJ$4,"cols=1;rows=15")</f>
        <v>#NAME?</v>
      </c>
      <c r="D16" s="811" t="e">
        <f ca="1">_xll.BDH($BD$1,D15,$BJ$1,$BJ$2,"EQY_CONSOLIDATED="&amp;$CS$3,"Points="&amp;$BG$2,"Per="&amp;$BG$1,"Dir=V","Fill=b","Dts=H","FX="&amp;$BJ$4,"cols=1;rows=15")</f>
        <v>#NAME?</v>
      </c>
      <c r="E16" s="775" t="e">
        <f ca="1">_xll.BDH($BD$1,E15,$BJ$1,$BJ$2,"EQY_CONSOLIDATED="&amp;$CS$3,"Points="&amp;$BG$2,"Per="&amp;$BG$1,"Dir=V","Fill=b","Dts=H","FX="&amp;$BJ$4,"cols=1;rows=15")</f>
        <v>#NAME?</v>
      </c>
      <c r="F16" s="687" t="e">
        <f ca="1">_xll.BDH($BD$1,F15,$BJ$1,$BJ$2,"EQY_CONSOLIDATED="&amp;$CS$3,"Points="&amp;$BG$2,"Per="&amp;$BG$1,"Dir=V","Fill=b","Dts=H","FX="&amp;$BJ$4,"scaling format",$BI$8,"cols=1;rows=15")</f>
        <v>#NAME?</v>
      </c>
      <c r="G16" s="812" t="str">
        <f t="shared" ref="G16:G31" ca="1" si="2">IFERROR(F16/$B16*100,"")</f>
        <v/>
      </c>
      <c r="H16" s="74" t="e">
        <f ca="1">_xll.BDH($BD$1,H15,$BJ$1,$BJ$2,"EQY_CONSOLIDATED="&amp;$CS$3,"Points="&amp;$BG$2,"Per="&amp;$BG$1,"Dir=V","Fill=b","Dts=H","FX="&amp;$BJ$4,"scaling format",$BI$8,"cols=1;rows=15")</f>
        <v>#NAME?</v>
      </c>
      <c r="I16" s="813" t="str">
        <f ca="1">IFERROR(H16/$B16*100,"")</f>
        <v/>
      </c>
      <c r="J16" s="687" t="e">
        <f ca="1">_xll.BDH($BD$1,J15,$BJ$1,$BJ$2,"EQY_CONSOLIDATED="&amp;$CS$3,"Points="&amp;$BG$2,"Per="&amp;$BG$1,"Dir=V","Fill=b","Dts=H","FX="&amp;$BJ$4,"scaling format",$BI$8,"cols=1;rows=15")</f>
        <v>#NAME?</v>
      </c>
      <c r="K16" s="687" t="str">
        <f t="shared" ref="K16:K30" ca="1" si="3">IFERROR(H16-L16-J16,"")</f>
        <v/>
      </c>
      <c r="L16" s="687" t="e">
        <f ca="1">_xll.BDH($BD$1,L15,$BJ$1,$BJ$2,"EQY_CONSOLIDATED="&amp;$CS$3,"Points="&amp;$BG$2,"Per="&amp;$BG$1,"Dir=V","Fill=b","Dts=H","FX="&amp;$BJ$4,"scaling format",$BI$8,"cols=1;rows=15")</f>
        <v>#NAME?</v>
      </c>
      <c r="M16" s="775" t="str">
        <f t="shared" ref="M16:M31" ca="1" si="4">IFERROR(L16/$B16*100,"")</f>
        <v/>
      </c>
      <c r="N16" s="197" t="str">
        <f t="shared" ref="N16:N31" ca="1" si="5">IFERROR(BO51/L16,"")</f>
        <v/>
      </c>
      <c r="O16" s="687" t="e">
        <f ca="1">_xll.BDH($BD$1,O15,$BJ$1,$BJ$2,"EQY_CONSOLIDATED="&amp;$CS$3,"Points="&amp;$BG$2,"Per="&amp;$BG$1,"Dir=V","Fill=b","Dts=H","FX="&amp;$BJ$4,"scaling format",$BI$8,"cols=1;rows=15")</f>
        <v>#NAME?</v>
      </c>
      <c r="P16" s="775" t="str">
        <f t="shared" ref="P16:P31" ca="1" si="6">IFERROR(O16/$B16*100,"")</f>
        <v/>
      </c>
      <c r="Q16" s="805" t="str">
        <f t="shared" ref="Q16:Q31" ca="1" si="7">IF(AND(ISNUMBER(O16),ISNUMBER(R16)),(O16-R16),"")</f>
        <v/>
      </c>
      <c r="R16" s="74" t="e">
        <f ca="1">_xll.BDH($BD$1,R15,$BJ$1,$BJ$2,"EQY_CONSOLIDATED="&amp;$CS$3,"Points="&amp;$BG$2,"Per="&amp;$BG$1,"Dir=V","Fill=b","Dts=H","FX="&amp;$BJ$4,"scaling format",$BI$8,"cols=1;rows=15")</f>
        <v>#NAME?</v>
      </c>
      <c r="S16" s="812" t="e">
        <f t="shared" ref="S16:S31" ca="1" si="8">DK51</f>
        <v>#NAME?</v>
      </c>
      <c r="T16" s="814" t="str">
        <f t="shared" ref="T16:T31" ca="1" si="9">DN51</f>
        <v/>
      </c>
      <c r="U16" s="74" t="str">
        <f t="shared" ref="U16:U36" ca="1" si="10">DB16</f>
        <v/>
      </c>
      <c r="V16" s="775" t="str">
        <f t="shared" ref="V16:V31" ca="1" si="11">IFERROR(U16/$B16*100,"")</f>
        <v/>
      </c>
      <c r="W16" s="687" t="str">
        <f t="shared" ref="W16:W36" ca="1" si="12">DI16</f>
        <v/>
      </c>
      <c r="X16" s="699" t="str">
        <f t="shared" ref="X16:X36" ca="1" si="13">DN16</f>
        <v/>
      </c>
      <c r="Y16" s="815" t="str">
        <f t="shared" ref="Y16:Y30" ca="1" si="14">CZ51</f>
        <v/>
      </c>
      <c r="Z16" s="805" t="str">
        <f t="shared" ref="Z16:Z30" ca="1" si="15">DG51</f>
        <v/>
      </c>
      <c r="AA16" s="76" t="e">
        <f t="array" aca="1" ref="AA16" ca="1">_xll.BDP($BD$1,AA$15,"fund per=A","eqy fund year",YEAR($BB16))/$BG$4</f>
        <v>#NAME?</v>
      </c>
      <c r="AB16" s="775" t="str">
        <f t="shared" ref="AB16:AB36" ca="1" si="16">IFERROR(AA16/$B16*100,"")</f>
        <v/>
      </c>
      <c r="AC16" s="701" t="e">
        <f t="array" aca="1" ref="AC16" ca="1">_xll.BDP($BD$1,AC$15,"fund per=A","eqy fund year",YEAR($BB16))</f>
        <v>#NAME?</v>
      </c>
      <c r="AD16" s="180">
        <f t="shared" ref="AD16:AD31" ca="1" si="17">IFERROR(IF(ISNUMBER(T16),AE16/T16,0),0)</f>
        <v>0</v>
      </c>
      <c r="AE16" s="816" t="e">
        <f ca="1">_xll.BDH($BD$1,AE15,$BJ$1,$BJ$2,"EQY_CONSOLIDATED="&amp;$CS$3,"Points="&amp;$BG$2,"Per="&amp;$BG$1,"Dir=V","Fill=b","Dts=H","FX="&amp;$BJ$4,"cols=1;rows=15")</f>
        <v>#NAME?</v>
      </c>
      <c r="AF16" s="781" t="e">
        <f ca="1">_xll.BDH($BD$1,AF15,$BJ$1,$BJ$2,"EQY_CONSOLIDATED="&amp;$CS$3,"Points="&amp;$BG$2,"Per="&amp;$BG$1,"Dir=V","Fill=b","Dts=H","FX="&amp;$BJ$4,"cols=1;rows=15")</f>
        <v>#NAME?</v>
      </c>
      <c r="AG16" s="817" t="e">
        <f ca="1">_xll.BDH($BD$1,AG15,$A$16,$A$30,"EQY_CONSOLIDATED="&amp;$CS$3,"Points="&amp;$BG$2,"Per="&amp;$BG$1,"Dir=V","Fill=b","Dts=H","FX="&amp;$AG$13,"cols=1;rows=15")</f>
        <v>#NAME?</v>
      </c>
      <c r="AH16" s="775" t="e">
        <f ca="1">_xll.BDH($BD$1,AH15,$BJ$1,$BJ$2,"EQY_CONSOLIDATED="&amp;$CS$3,"Points="&amp;$BG$2,"Per="&amp;$BG$1,"Dir=V","Fill=b","Dts=H","FX="&amp;$BJ$4,"cols=1;rows=15")</f>
        <v>#NAME?</v>
      </c>
      <c r="AI16" s="775" t="str">
        <f t="shared" ref="AI16:AI31" ca="1" si="18">IFERROR(AY16/X16,"")</f>
        <v/>
      </c>
      <c r="AJ16" s="775" t="str">
        <f t="shared" ref="AJ16:AJ31" ca="1" si="19">IFERROR(AY16/AC16,"")</f>
        <v/>
      </c>
      <c r="AK16" s="805" t="str">
        <f t="shared" ref="AK16:AK31" ca="1" si="20">BM16</f>
        <v/>
      </c>
      <c r="AL16" s="812" t="str">
        <f t="shared" ref="AL16:AL31" ca="1" si="21">IF(ISNUMBER(BY16),BY16,IF(ISNUMBER(CE16),CE16,""))</f>
        <v/>
      </c>
      <c r="AM16" s="812" t="e">
        <f t="shared" ref="AM16:AM31" ca="1" si="22">IF(BM51&gt;0,IFERROR((BS16+BM51)/(AA16-DU16+DV16),""),"")</f>
        <v>#NAME?</v>
      </c>
      <c r="AN16" s="805" t="str">
        <f t="shared" ref="AN16:AN36" ca="1" si="23">IFERROR(BS16/H16,"")</f>
        <v/>
      </c>
      <c r="AO16" s="805" t="str">
        <f t="shared" ref="AO16:AO31" ca="1" si="24">CQ16</f>
        <v/>
      </c>
      <c r="AP16" s="805" t="str">
        <f t="shared" ref="AP16:AP31" ca="1" si="25">IFERROR(BS16/Q71,"")</f>
        <v/>
      </c>
      <c r="AQ16" s="805" t="e">
        <f t="shared" ref="AQ16:AQ31" ca="1" si="26">IF(AY16&gt;0,IFERROR(BS16/B16,""),"")</f>
        <v>#NAME?</v>
      </c>
      <c r="AR16" s="805" t="str">
        <f t="shared" ref="AR16:AR30" ca="1" si="27">IF(ISNUMBER(CT16),CT16,"")</f>
        <v/>
      </c>
      <c r="AS16" s="784" t="str">
        <f t="shared" ref="AS16:AS31" ca="1" si="28">IFERROR(X71/BS16*100,"")</f>
        <v/>
      </c>
      <c r="AU16" s="416" t="e">
        <f ca="1">_xll.BDH($BD$1,B15,$BJ$1,$BJ$2,"EQY_CONSOLIDATED="&amp;$CS$3,"Points="&amp;$BG$2,"Per="&amp;$BG$1,"Dir=V","Fill=b","Dts=H","FX=USD","scaling format",$BI$8,"cols=1;rows=15")</f>
        <v>#NAME?</v>
      </c>
      <c r="AV16" s="51" t="e">
        <f ca="1">_xll.BDH($BD$1,AV15,$BJ$1,$BJ$2+0.0001,"EQY_CONSOLIDATED="&amp;$CS$3,"Points="&amp;$BG$2,"Per="&amp;$BG$1,"Dir=V","Fill=b","Dts=H","FX=USD","cols=1;rows=15")</f>
        <v>#NAME?</v>
      </c>
      <c r="AW16" s="53" t="e">
        <f ca="1">_xll.BDH($BD$1,AY15,$BJ$1,$BJ$2+0.001,"EQY_CONSOLIDATED="&amp;$CS$3,"Points="&amp;$BG$2,"Per="&amp;$BG$1,"Dir=V","Fill=b","Dts=H","FX=USD","cols=1;rows=15")</f>
        <v>#NAME?</v>
      </c>
      <c r="AX16" s="818" t="str">
        <f t="shared" ref="AX16:AX31" ca="1" si="29">IFERROR(BS16/X71,"")</f>
        <v/>
      </c>
      <c r="AY16" s="175" t="e">
        <f ca="1">_xll.BDH($A$1&amp;" Equity",AY15,$BJ$1,$BJ$2,"EQY_CONSOLIDATED="&amp;$CS$3,"Points="&amp;$BG$2,"Per="&amp;$BG$1,"Dir=V","Fill=b","Dts=H","FX="&amp;$BJ$4,"cols=1;rows=15")</f>
        <v>#NAME?</v>
      </c>
      <c r="AZ16" s="46"/>
      <c r="BA16" s="46"/>
      <c r="BB16" s="463" t="e">
        <f t="shared" ref="BB16:BB30" ca="1" si="30">A16</f>
        <v>#NAME?</v>
      </c>
      <c r="BC16" s="819" t="e">
        <f ca="1">_xll.BDH($BD$1,BC15,$BJ$1,$BJ$2,"EQY_CONSOLIDATED="&amp;$CS$3,"Points="&amp;$BG$2,"Per="&amp;$BG$1,"Dir=V","Fill=b","Dts=H","FX="&amp;$BJ$4,"cols=1;rows=15")</f>
        <v>#NAME?</v>
      </c>
      <c r="BD16" s="820" t="e">
        <f t="shared" ref="BD16:BD31" ca="1" si="31">DK51</f>
        <v>#NAME?</v>
      </c>
      <c r="BE16" s="8" t="e">
        <f ca="1">_xll.BDH($BD$1,BE15,$BJ$1,$BJ$2,"EQY_CONSOLIDATED="&amp;$CS$3,"Points="&amp;$BG$2,"Per="&amp;$BG$1,"Dir=V","Fill=b","Dts=H","FX="&amp;$BJ$4,"scaling format",$BI$8)</f>
        <v>#NAME?</v>
      </c>
      <c r="BF16" s="8" t="e">
        <f t="shared" ref="BF16:BF31" ca="1" si="32">L16</f>
        <v>#NAME?</v>
      </c>
      <c r="BG16" s="8" t="str">
        <f t="shared" ref="BG16:BG31" ca="1" si="33">IF(ISNUMBER(BE16),BE16,IF(ISNUMBER(BF16),BF16,""))</f>
        <v/>
      </c>
      <c r="BH16" s="821" t="e">
        <f ca="1">_xll.BDH($BD$1,BH15,$BJ$1,$BJ$2,"EQY_CONSOLIDATED="&amp;$CS$3,"Points="&amp;$BG$2,"Per="&amp;$BG$1,"Dir=V","Fill=b","Dts=H","FX="&amp;$BJ$4,"scaling format",$BI$8,"cols=1;rows=15")</f>
        <v>#NAME?</v>
      </c>
      <c r="BI16" s="821" t="e">
        <f ca="1">_xll.BDH($BD$1,BI15,$BJ$1,$BJ$2,"EQY_CONSOLIDATED="&amp;$CS$3,"Points="&amp;$BG$2,"Per="&amp;$BG$1,"Dir=V","Fill=b","Dts=H","FX="&amp;$BJ$4,"scaling format",$BI$8,"cols=1;rows=15")</f>
        <v>#NAME?</v>
      </c>
      <c r="BJ16" s="821" t="str">
        <f t="shared" ref="BJ16:BJ31" ca="1" si="34">Q16</f>
        <v/>
      </c>
      <c r="BK16" s="3" t="str">
        <f t="shared" ref="BK16:BK31" ca="1" si="35">IF(ISNUMBER(AY16),IF($BI$8="TRN",AY16+(((BI51+BL51+BC51-B51-C51-I51)*1000000)/BD16),IF($BI$8="BLN",AY16+(((BI51+BL51+BC51-B51-C51-I51)*1000)/BD16),AY16+((BI51+BL51+BC51-B51-C51-I51)/BD16))),"")</f>
        <v/>
      </c>
      <c r="BL16" s="3" t="str">
        <f t="shared" ref="BL16:BL31" ca="1" si="36">IF(ISNUMBER(BD16),IF($BI$8="TRN",((((BG16-BH16+BI16)*(1-(N16))-BJ16)*1000000)/BD16),IF($BI$8="BLN",((((BG16-BH16+BI16)*(1-(N16))-BJ16)*1000)/BD16),(((BG16-BH16+BI16)*(1-(N16))-BJ16)/BD16))),"")</f>
        <v/>
      </c>
      <c r="BM16" s="822" t="str">
        <f t="shared" ref="BM16:BM31" ca="1" si="37">IF(IFERROR(BK16/BL16,"")&lt;0,"",IFERROR(BK16/BL16,""))</f>
        <v/>
      </c>
      <c r="BN16" s="327" t="e">
        <f t="shared" ref="BN16:BN31" ca="1" si="38">IF($BI$8="MLN",AY16*BD16,IF($BI$8="BLN",(AY16*BD16)/$BG$11,IF($BI$8="TRN",(AY16*BD16)/$BG$11,"")))</f>
        <v>#NAME?</v>
      </c>
      <c r="BO16" s="8" t="e">
        <f t="shared" ref="BO16:BO31" ca="1" si="39">BI51+BN51+BC51</f>
        <v>#NAME?</v>
      </c>
      <c r="BP16" s="8" t="e">
        <f t="shared" ref="BP16:BP31" ca="1" si="40">B51+C51+I51+J51</f>
        <v>#NAME?</v>
      </c>
      <c r="BQ16" s="8" t="e">
        <f ca="1">_xll.BDH($BD$1,BQ15,$BJ$1,$BJ$2,"EQY_CONSOLIDATED="&amp;$CS$3,"Points="&amp;$BG$2,"Per="&amp;$BG$1,"Dir=V","Fill=b","Dts=H","FX="&amp;$BJ$4,"scaling format",$BI$8,"cols=1;rows=15")</f>
        <v>#NAME?</v>
      </c>
      <c r="BR16" s="8" t="str">
        <f t="shared" ref="BR16:BR31" ca="1" si="41">AD51</f>
        <v/>
      </c>
      <c r="BS16" s="368" t="e">
        <f t="shared" ref="BS16:BS31" ca="1" si="42">BN16+BO16+BQ16+BR16-BP16</f>
        <v>#NAME?</v>
      </c>
      <c r="BT16" s="25" t="e">
        <f ca="1">_xll.BDH($BD$1,BT15,$BJ$1,$BJ$2,"EQY_CONSOLIDATED="&amp;$CS$3,"Points="&amp;$BG$2,"Per="&amp;$BG$1,"Dir=V","Fill=b","Dts=H","FX="&amp;$BJ$4,"scaling format",$BI$8)</f>
        <v>#NAME?</v>
      </c>
      <c r="BU16" s="25" t="e">
        <f ca="1">_xll.BDH($BD$1,BU15,$BJ$1,$BJ$2,"EQY_CONSOLIDATED="&amp;$CS$3,"Points="&amp;$BG$2,"Per="&amp;$BG$1,"Dir=V","Fill=b","Dts=H","FX="&amp;$BJ$4,"scaling format",$BI$8,"cols=1;rows=15")</f>
        <v>#NAME?</v>
      </c>
      <c r="BV16" s="8">
        <f t="shared" ref="BV16:BV31" ca="1" si="43">IF(ISNUMBER(BT16),BT16,IF(ISNUMBER(BU16),BU16,0))</f>
        <v>0</v>
      </c>
      <c r="BW16" s="8" t="e">
        <f t="shared" ref="BW16:BW31" ca="1" si="44">F16</f>
        <v>#NAME?</v>
      </c>
      <c r="BX16" s="8" t="e">
        <f t="shared" ref="BX16:BX31" ca="1" si="45">F16-BV16</f>
        <v>#NAME?</v>
      </c>
      <c r="BY16" s="822" t="str">
        <f t="shared" ref="BY16:BY31" ca="1" si="46">IF(ISNUMBER(F16),IFERROR(BS16/BX16,""),"")</f>
        <v/>
      </c>
      <c r="BZ16" s="327" t="e">
        <f t="shared" ref="BZ16:BZ31" ca="1" si="47">BS16-BR16</f>
        <v>#NAME?</v>
      </c>
      <c r="CA16" s="8" t="str">
        <f t="shared" ref="CA16:CA31" ca="1" si="48">Q16</f>
        <v/>
      </c>
      <c r="CB16" s="8" t="e">
        <f t="shared" ref="CB16:CB31" ca="1" si="49">R16</f>
        <v>#NAME?</v>
      </c>
      <c r="CC16" s="713" t="e">
        <f t="shared" ref="CC16:CC31" ca="1" si="50">CA16/CB16</f>
        <v>#VALUE!</v>
      </c>
      <c r="CD16" s="8" t="e">
        <f t="shared" ref="CD16:CD31" ca="1" si="51">BX16*(1-CC16)</f>
        <v>#NAME?</v>
      </c>
      <c r="CE16" s="822" t="str">
        <f t="shared" ref="CE16:CE31" ca="1" si="52">IF(ISNUMBER(N16),IFERROR(BZ16/CD16,""),"")</f>
        <v/>
      </c>
      <c r="CF16" s="338" t="s">
        <v>722</v>
      </c>
      <c r="CG16" s="2" t="e">
        <f t="array" aca="1" ref="CG16" ca="1">_xll.BDP(BD1,"UD_GP_PAR_CONSOL")</f>
        <v>#NAME?</v>
      </c>
      <c r="CK16" s="765"/>
      <c r="CL16" s="327" t="e">
        <f t="array" aca="1" ref="CL16" ca="1">_xll.BDP($BD$1,CL$15,"fund per=A","eqy fund year",YEAR($BB16))/$BG$4</f>
        <v>#NAME?</v>
      </c>
      <c r="CM16" s="8" t="e">
        <f t="shared" ref="CM16:CM31" ca="1" si="53">CL16*AY16</f>
        <v>#NAME?</v>
      </c>
      <c r="CN16" s="8" t="e">
        <f t="array" aca="1" ref="CN16" ca="1">_xll.BDP($BD$1,CN$15,"fund per=A","eqy fund year",YEAR($BB16))/$BG$4</f>
        <v>#NAME?</v>
      </c>
      <c r="CO16" s="8" t="e">
        <f t="shared" ref="CO16:CO31" ca="1" si="54">SUM(CM16:CN16)</f>
        <v>#NAME?</v>
      </c>
      <c r="CP16" s="8" t="e">
        <f t="shared" ref="CP16:CP30" ca="1" si="55">AA16</f>
        <v>#NAME?</v>
      </c>
      <c r="CQ16" s="822" t="str">
        <f t="shared" ref="CQ16:CQ31" ca="1" si="56">IFERROR(CO16/CP16,"")</f>
        <v/>
      </c>
      <c r="CR16" s="380" t="str">
        <f t="shared" ref="CR16:CR31" ca="1" si="57">IF(ISNUMBER(AY16),AY16,"")</f>
        <v/>
      </c>
      <c r="CS16" s="821" t="str">
        <f t="shared" ref="CS16:CS31" ca="1" si="58">IF(ISNUMBER(AC51),IFERROR(IF($BI$8="TRN",(AC51*1000000)/DR16,IF($BI$8="BLN",(AC51*1000)/DR16,AC51/DR16)),""),"")</f>
        <v/>
      </c>
      <c r="CT16" s="823" t="e">
        <f t="shared" ref="CT16:CT31" ca="1" si="59">CR16/CS16</f>
        <v>#VALUE!</v>
      </c>
      <c r="CU16" s="821"/>
      <c r="CV16" s="822" t="e">
        <f t="shared" ref="CV16:CV31" ca="1" si="60">CR16/CU16</f>
        <v>#VALUE!</v>
      </c>
      <c r="CW16" s="824" t="e">
        <f t="array" aca="1" ref="CW16" ca="1">_xll.BDP($BD$1,CW$15,"fund per=A","eqy fund year",YEAR($BB16))/$BG$4</f>
        <v>#NAME?</v>
      </c>
      <c r="CX16" s="825" t="e">
        <f ca="1">_xll.BDH($BD$1,CX15,$BJ$1,$BJ$2,"EQY_CONSOLIDATED="&amp;$CS$3,"Points="&amp;$BG$2,"Per="&amp;$BG$1,"Dir=V","Fill=b","Dts=H","FX="&amp;$BJ$4,"scaling format",$BI$8,"cols=1;rows=15")</f>
        <v>#NAME?</v>
      </c>
      <c r="CY16" s="825" t="e">
        <f ca="1">_xll.BDH($BD$1,CY15,$BJ$1,$BJ$2,"EQY_CONSOLIDATED="&amp;$CS$3,"Points="&amp;$BG$2,"Per="&amp;$BG$1,"Dir=V","Fill=b","Dts=H","FX="&amp;$BJ$4,"scaling format",$BI$8,"cols=1;rows=15")</f>
        <v>#NAME?</v>
      </c>
      <c r="CZ16" s="825"/>
      <c r="DA16" s="825" t="e">
        <f ca="1">_xll.BDH($BD$1,DA15,$BJ$1,$BJ$2,"EQY_CONSOLIDATED="&amp;$CS$3,"Points="&amp;$BG$2,"Per="&amp;$BG$1,"Dir=V","Fill=b","Dts=H","FX="&amp;$BJ$4,"scaling format",$BI$8)</f>
        <v>#NAME?</v>
      </c>
      <c r="DB16" s="826" t="str">
        <f t="shared" ref="DB16:DB30" ca="1" si="61">IFERROR(IF($CW$12=1,CW16,IF($CX$12=1,CX16,IF($CY$12=1,CY16,IF($CZ$12=1,CZ16,IF($DA$12=1,DA16,""))))),"")</f>
        <v/>
      </c>
      <c r="DC16" s="824" t="e">
        <f t="array" aca="1" ref="DC16" ca="1">_xll.BDP($BD$1,DC$15,"fund per=A","eqy fund year",YEAR($BB16))/$BG$4</f>
        <v>#NAME?</v>
      </c>
      <c r="DD16" s="827" t="e">
        <f ca="1">_xll.BDH($BD$1,DD15,$BJ$1,$BJ$2,"EQY_CONSOLIDATED="&amp;$CS$3,"Points="&amp;$BG$2,"Per="&amp;$BG$1,"Dir=V","Fill=b","Dts=H","FX="&amp;$BJ$4,"scaling format",$BI$8)</f>
        <v>#NAME?</v>
      </c>
      <c r="DE16" s="827" t="e">
        <f ca="1">_xll.BDH($BD$1,DE15,$BJ$1,$BJ$2,"EQY_CONSOLIDATED="&amp;$CS$3,"Points="&amp;$BG$2,"Per="&amp;$BG$1,"Dir=V","Fill=b","Dts=H","FX="&amp;$BJ$4,"scaling format",$BI$8)</f>
        <v>#NAME?</v>
      </c>
      <c r="DF16" s="827" t="e">
        <f ca="1">_xll.BDH($BD$1,DF15,$BJ$1,$BJ$2,"EQY_CONSOLIDATED="&amp;$CS$3,"Points="&amp;$BG$2,"Per="&amp;$BG$1,"Dir=V","Fill=b","Dts=H","FX="&amp;$BJ$4,"scaling format",$BI$8,"cols=1;rows=15")</f>
        <v>#NAME?</v>
      </c>
      <c r="DG16" s="827" t="e">
        <f ca="1">_xll.BDH($BD$1,DG15,$BJ$1,$BJ$2,"EQY_CONSOLIDATED="&amp;$CS$3,"Points="&amp;$BG$2,"Per="&amp;$BG$1,"Dir=V","Fill=b","Dts=H","FX="&amp;$BJ$4,"scaling format",$BI$8,"cols=1;rows=15")</f>
        <v>#NAME?</v>
      </c>
      <c r="DH16" s="825" t="e">
        <f ca="1">DA16</f>
        <v>#NAME?</v>
      </c>
      <c r="DI16" s="828" t="str">
        <f t="shared" ref="DI16:DI31" ca="1" si="62">IFERROR(IF($DC$12=1,DC16,IF($DD$12=1,DD16,IF($DE$12=1,DE16,IF($DF$12=1,DF16,IF($DG$12=1,DG16,IF(AND($CZ$12=1,$DH$12=1),DH16,"")))))),"")</f>
        <v/>
      </c>
      <c r="DJ16" s="364" t="e">
        <f t="array" aca="1" ref="DJ16" ca="1">_xll.BDP($BD$1,DJ$15,"fund per=A","eqy fund year",YEAR($BB16))/1</f>
        <v>#NAME?</v>
      </c>
      <c r="DK16" s="49" t="e">
        <f ca="1">_xll.BDH($BD$1,DK15,$BJ$1,$BJ$2,"EQY_CONSOLIDATED="&amp;$CS$3,"Points="&amp;$BG$2,"Per="&amp;$BG$1,"Dir=V","Fill=b","Dts=H","FX="&amp;$BJ$4)</f>
        <v>#NAME?</v>
      </c>
      <c r="DL16" s="5" t="e">
        <f ca="1">_xll.BDH($BD$1,DL15,$BJ$1,$BJ$2,"EQY_CONSOLIDATED="&amp;$CS$3,"Points="&amp;$BG$2,"Per="&amp;$BG$1,"Dir=V","Fill=b","Dts=H","FX="&amp;$BJ$4)</f>
        <v>#NAME?</v>
      </c>
      <c r="DM16" s="187" t="e">
        <f ca="1">_xll.BDH($BD$1,DM15,$BJ$1,$BJ$2,"EQY_CONSOLIDATED="&amp;$CS$3,"Points="&amp;$BG$2,"Per="&amp;$BG$1,"Dir=V","Fill=b","Dts=H","FX="&amp;$BJ$4)</f>
        <v>#NAME?</v>
      </c>
      <c r="DN16" s="387" t="str">
        <f t="shared" ref="DN16:DN36" ca="1" si="63">IFERROR(IF($DJ$12=1,DJ16,IF($DK$12=1,DK16,IF($DL$12=1,DL16,IF($DM$12=1,DM16,"")))),"")</f>
        <v/>
      </c>
      <c r="DO16" s="829" t="e">
        <f ca="1">_xll.BDH($BD$1,DO15,$BJ$1,$BJ$2,"EQY_CONSOLIDATED="&amp;$CS$3,"Points="&amp;$BG$2,"Per="&amp;$BG$1,"Dir=V","Fill=b","Dts=H","FX="&amp;$BJ$4,"cols=1;rows=15")</f>
        <v>#NAME?</v>
      </c>
      <c r="DP16" s="830" t="e">
        <f t="array" aca="1" ref="DP16" ca="1">_xll.BDH($BD$1,DP15,$BJ$1,$BJ$2,"EQY_CONSOLIDATED="&amp;$CS$3,"Points="&amp;$BG$2,"Per="&amp;$BG$1,"Dir=V","Fill=b","Dts=H","FX="&amp;$BJ$4)</f>
        <v>#NAME?</v>
      </c>
      <c r="DQ16" s="830" t="e">
        <f ca="1">_xll.BDH($BD$1,DQ15,$BJ$1,$BJ$2,"EQY_CONSOLIDATED="&amp;$CS$3,"Points="&amp;$BG$2,"Per="&amp;$BG$1,"Dir=V","Fill=b","Dts=H","FX="&amp;$BJ$4,"cols=1;rows=15")</f>
        <v>#NAME?</v>
      </c>
      <c r="DR16" s="826" t="str">
        <f t="shared" ref="DR16:DR30" ca="1" si="64">IF(ISNUMBER(DO16),DO16,IF(ISNUMBER(DP16),DP16,IF(ISNUMBER(DQ16),DQ16,"")))</f>
        <v/>
      </c>
      <c r="DS16" s="824" t="e">
        <f ca="1">_xll.BDH($BD$1,DS15,$BJ$1,$BJ$2,"EQY_CONSOLIDATED="&amp;$CS$3,"Points="&amp;$BG$2,"Per="&amp;$BG$1,"Dir=V","Fill=b","Dts=H","FX="&amp;$BJ$4,"scaling format",$BI$8,"cols=1;rows=15")</f>
        <v>#NAME?</v>
      </c>
      <c r="DT16" s="826" t="e">
        <f ca="1">_xll.BDH($BD$1,DT15,$BJ$1,$BJ$2,"EQY_CONSOLIDATED="&amp;$CS$3,"Points="&amp;$BG$2,"Per="&amp;$BG$1,"Dir=V","Fill=b","Dts=H","FX="&amp;$BJ$4,"scaling format",$BI$8,"cols=1;rows=15")</f>
        <v>#NAME?</v>
      </c>
      <c r="DU16" s="824" t="e">
        <f ca="1">_xll.BDH($BD$1,DU15,$BJ$1,$BJ$2,"EQY_CONSOLIDATED="&amp;$CS$3,"Points="&amp;$BG$2,"Per="&amp;$BG$1,"Dir=V","Fill=0","Dts=H","FX="&amp;$BJ$4)</f>
        <v>#NAME?</v>
      </c>
      <c r="DV16" s="826"/>
      <c r="DX16" t="s">
        <v>723</v>
      </c>
      <c r="DY16" s="2" t="s">
        <v>724</v>
      </c>
      <c r="DZ16" s="695">
        <v>0.1</v>
      </c>
    </row>
    <row r="17" spans="1:132" ht="16" customHeight="1">
      <c r="A17" s="831">
        <v>40543</v>
      </c>
      <c r="B17" s="810">
        <v>351.149</v>
      </c>
      <c r="C17" s="775">
        <v>39.439100000000003</v>
      </c>
      <c r="D17" s="811">
        <v>25.241099999999999</v>
      </c>
      <c r="E17" s="775">
        <v>6.8930999999999996</v>
      </c>
      <c r="F17" s="687">
        <v>60.180999999999997</v>
      </c>
      <c r="G17" s="812">
        <f t="shared" si="2"/>
        <v>17.138308809081046</v>
      </c>
      <c r="H17" s="74">
        <v>49.856000000000002</v>
      </c>
      <c r="I17" s="813">
        <f t="shared" ref="I17:I30" si="65">IFERROR(H17/B17*100,"")</f>
        <v>14.197961549086003</v>
      </c>
      <c r="J17" s="687">
        <v>2.4060000000000001</v>
      </c>
      <c r="K17" s="687">
        <f t="shared" si="3"/>
        <v>5.4000000000000714E-2</v>
      </c>
      <c r="L17" s="687">
        <v>47.396000000000001</v>
      </c>
      <c r="M17" s="775">
        <f t="shared" si="4"/>
        <v>13.49740423580873</v>
      </c>
      <c r="N17" s="197">
        <f t="shared" si="5"/>
        <v>3.0171322474470416E-3</v>
      </c>
      <c r="O17" s="687">
        <v>47.253</v>
      </c>
      <c r="P17" s="775">
        <f t="shared" si="6"/>
        <v>13.456680782232045</v>
      </c>
      <c r="Q17" s="805">
        <f t="shared" si="7"/>
        <v>0.26299999999999812</v>
      </c>
      <c r="R17" s="74">
        <v>46.99</v>
      </c>
      <c r="S17" s="812">
        <f t="shared" si="8"/>
        <v>78.6571</v>
      </c>
      <c r="T17" s="814">
        <f t="shared" si="9"/>
        <v>0.625</v>
      </c>
      <c r="U17" s="74" t="str">
        <f t="shared" ca="1" si="10"/>
        <v/>
      </c>
      <c r="V17" s="775" t="str">
        <f t="shared" ca="1" si="11"/>
        <v/>
      </c>
      <c r="W17" s="687">
        <f t="shared" ca="1" si="12"/>
        <v>0</v>
      </c>
      <c r="X17" s="699" t="str">
        <f t="shared" ca="1" si="13"/>
        <v/>
      </c>
      <c r="Y17" s="815">
        <f t="shared" si="14"/>
        <v>0.11220308188261963</v>
      </c>
      <c r="Z17" s="775">
        <f t="shared" si="15"/>
        <v>5.2499999999999991</v>
      </c>
      <c r="AA17" s="687" t="e">
        <f t="array" aca="1" ref="AA17" ca="1">_xll.BDP($BD$1,AA$15,"fund per=A","eqy fund year",YEAR($BB17))/$BG$4</f>
        <v>#NAME?</v>
      </c>
      <c r="AB17" s="775" t="str">
        <f t="shared" ca="1" si="16"/>
        <v/>
      </c>
      <c r="AC17" s="714" t="e">
        <f t="array" aca="1" ref="AC17" ca="1">_xll.BDP($BD$1,AC$15,"fund per=A","eqy fund year",YEAR($BB17))</f>
        <v>#NAME?</v>
      </c>
      <c r="AD17" s="180">
        <f t="shared" si="17"/>
        <v>0</v>
      </c>
      <c r="AE17" s="816"/>
      <c r="AF17" s="784"/>
      <c r="AG17" s="817">
        <v>1.4005000000000001</v>
      </c>
      <c r="AH17" s="775">
        <v>3.6252</v>
      </c>
      <c r="AI17" s="775" t="str">
        <f t="shared" ca="1" si="18"/>
        <v/>
      </c>
      <c r="AJ17" s="775" t="str">
        <f t="shared" ca="1" si="19"/>
        <v/>
      </c>
      <c r="AK17" s="805" t="str">
        <f t="shared" ca="1" si="20"/>
        <v/>
      </c>
      <c r="AL17" s="812" t="str">
        <f t="shared" ca="1" si="21"/>
        <v/>
      </c>
      <c r="AM17" s="812" t="str">
        <f t="shared" si="22"/>
        <v/>
      </c>
      <c r="AN17" s="805" t="str">
        <f t="shared" ca="1" si="23"/>
        <v/>
      </c>
      <c r="AO17" s="805" t="str">
        <f t="shared" ca="1" si="24"/>
        <v/>
      </c>
      <c r="AP17" s="805" t="str">
        <f t="shared" ca="1" si="25"/>
        <v/>
      </c>
      <c r="AQ17" s="805" t="str">
        <f t="shared" ca="1" si="26"/>
        <v/>
      </c>
      <c r="AR17" s="805" t="str">
        <f t="shared" ca="1" si="27"/>
        <v/>
      </c>
      <c r="AS17" s="784" t="str">
        <f t="shared" ca="1" si="28"/>
        <v/>
      </c>
      <c r="AU17" s="416">
        <v>465.83819999999997</v>
      </c>
      <c r="AV17" s="51">
        <v>0.82909999999999995</v>
      </c>
      <c r="AW17" s="53">
        <v>1.8719600000000001</v>
      </c>
      <c r="AX17" s="818" t="str">
        <f t="shared" ca="1" si="29"/>
        <v/>
      </c>
      <c r="AY17" s="175">
        <v>1.4005000000000001</v>
      </c>
      <c r="AZ17" s="46"/>
      <c r="BA17" s="46"/>
      <c r="BB17" s="464">
        <f t="shared" si="30"/>
        <v>40543</v>
      </c>
      <c r="BC17" s="832">
        <v>67.788799999999995</v>
      </c>
      <c r="BD17" s="820">
        <f t="shared" si="31"/>
        <v>78.6571</v>
      </c>
      <c r="BE17" s="8"/>
      <c r="BF17" s="8">
        <f t="shared" si="32"/>
        <v>47.396000000000001</v>
      </c>
      <c r="BG17" s="8">
        <f t="shared" si="33"/>
        <v>47.396000000000001</v>
      </c>
      <c r="BH17" s="821">
        <v>0.311</v>
      </c>
      <c r="BI17" s="821">
        <v>2.7170000000000001</v>
      </c>
      <c r="BJ17" s="821">
        <f t="shared" si="34"/>
        <v>0.26299999999999812</v>
      </c>
      <c r="BK17" s="3" t="e">
        <f t="shared" ca="1" si="35"/>
        <v>#NAME?</v>
      </c>
      <c r="BL17" s="3" t="e">
        <f t="shared" ca="1" si="36"/>
        <v>#NAME?</v>
      </c>
      <c r="BM17" s="822" t="str">
        <f t="shared" ca="1" si="37"/>
        <v/>
      </c>
      <c r="BN17" s="327" t="e">
        <f t="shared" ca="1" si="38"/>
        <v>#NAME?</v>
      </c>
      <c r="BO17" s="8">
        <f t="shared" si="39"/>
        <v>50.298000000000002</v>
      </c>
      <c r="BP17" s="8">
        <f t="shared" si="40"/>
        <v>69.305000000000007</v>
      </c>
      <c r="BQ17" s="8">
        <v>0</v>
      </c>
      <c r="BR17" s="8">
        <f t="shared" si="41"/>
        <v>0.76800000000000068</v>
      </c>
      <c r="BS17" s="368" t="e">
        <f t="shared" ca="1" si="42"/>
        <v>#NAME?</v>
      </c>
      <c r="BT17" s="25"/>
      <c r="BU17" s="25">
        <v>0</v>
      </c>
      <c r="BV17" s="8">
        <f t="shared" si="43"/>
        <v>0</v>
      </c>
      <c r="BW17" s="8">
        <f t="shared" si="44"/>
        <v>60.180999999999997</v>
      </c>
      <c r="BX17" s="8">
        <f t="shared" si="45"/>
        <v>60.180999999999997</v>
      </c>
      <c r="BY17" s="822" t="str">
        <f t="shared" ca="1" si="46"/>
        <v/>
      </c>
      <c r="BZ17" s="327" t="e">
        <f t="shared" ca="1" si="47"/>
        <v>#NAME?</v>
      </c>
      <c r="CA17" s="8">
        <f t="shared" si="48"/>
        <v>0.26299999999999812</v>
      </c>
      <c r="CB17" s="8">
        <f t="shared" si="49"/>
        <v>46.99</v>
      </c>
      <c r="CC17" s="713">
        <f t="shared" si="50"/>
        <v>5.5969355181953208E-3</v>
      </c>
      <c r="CD17" s="8">
        <f t="shared" si="51"/>
        <v>59.844170823579489</v>
      </c>
      <c r="CE17" s="822" t="str">
        <f t="shared" ca="1" si="52"/>
        <v/>
      </c>
      <c r="CF17" s="338" t="s">
        <v>725</v>
      </c>
      <c r="CG17" s="2" t="e">
        <f t="array" aca="1" ref="CG17" ca="1">RIGHT(_xll.BDP(BD1,"UD_FUNDMTL_PERIOD"),1)</f>
        <v>#NAME?</v>
      </c>
      <c r="CK17" s="765"/>
      <c r="CL17" s="327" t="e">
        <f t="array" aca="1" ref="CL17" ca="1">_xll.BDP($BD$1,CL$15,"fund per=A","eqy fund year",YEAR($BB17))/$BG$4</f>
        <v>#NAME?</v>
      </c>
      <c r="CM17" s="8" t="e">
        <f t="shared" ca="1" si="53"/>
        <v>#NAME?</v>
      </c>
      <c r="CN17" s="8" t="e">
        <f t="array" aca="1" ref="CN17" ca="1">_xll.BDP($BD$1,CN$15,"fund per=A","eqy fund year",YEAR($BB17))/$BG$4</f>
        <v>#NAME?</v>
      </c>
      <c r="CO17" s="8" t="e">
        <f t="shared" ca="1" si="54"/>
        <v>#NAME?</v>
      </c>
      <c r="CP17" s="8" t="e">
        <f t="shared" ca="1" si="55"/>
        <v>#NAME?</v>
      </c>
      <c r="CQ17" s="822" t="str">
        <f t="shared" ca="1" si="56"/>
        <v/>
      </c>
      <c r="CR17" s="380">
        <f t="shared" si="57"/>
        <v>1.4005000000000001</v>
      </c>
      <c r="CS17" s="821" t="str">
        <f t="shared" ca="1" si="58"/>
        <v/>
      </c>
      <c r="CT17" s="823" t="e">
        <f t="shared" ca="1" si="59"/>
        <v>#VALUE!</v>
      </c>
      <c r="CU17" s="821"/>
      <c r="CV17" s="822" t="e">
        <f t="shared" si="60"/>
        <v>#DIV/0!</v>
      </c>
      <c r="CW17" s="820" t="e">
        <f t="array" aca="1" ref="CW17" ca="1">_xll.BDP($BD$1,CW$15,"fund per=A","eqy fund year",YEAR($BB17))/$BG$4</f>
        <v>#NAME?</v>
      </c>
      <c r="CX17" s="821"/>
      <c r="CY17" s="821"/>
      <c r="CZ17" s="821"/>
      <c r="DA17" s="821"/>
      <c r="DB17" s="833" t="str">
        <f t="shared" ca="1" si="61"/>
        <v/>
      </c>
      <c r="DC17" s="820" t="e">
        <f t="array" aca="1" ref="DC17" ca="1">_xll.BDP($BD$1,DC$15,"fund per=A","eqy fund year",YEAR($BB17))/$BG$4</f>
        <v>#NAME?</v>
      </c>
      <c r="DD17" s="8"/>
      <c r="DE17" s="8"/>
      <c r="DF17" s="8"/>
      <c r="DG17" s="8"/>
      <c r="DH17" s="821" t="str">
        <f t="shared" ref="DH17:DH30" si="66">IF(DA17=0,"",DA17)</f>
        <v/>
      </c>
      <c r="DI17" s="828">
        <f t="shared" ca="1" si="62"/>
        <v>0</v>
      </c>
      <c r="DJ17" s="338" t="e">
        <f t="array" aca="1" ref="DJ17" ca="1">_xll.BDP($BD$1,DJ$15,"fund per=A","eqy fund year",YEAR($BB17))/1</f>
        <v>#NAME?</v>
      </c>
      <c r="DK17" s="2"/>
      <c r="DL17" s="2"/>
      <c r="DM17" s="162"/>
      <c r="DN17" s="388" t="str">
        <f t="shared" ca="1" si="63"/>
        <v/>
      </c>
      <c r="DO17" s="820">
        <v>67.887799999999999</v>
      </c>
      <c r="DP17" s="821"/>
      <c r="DQ17" s="821">
        <v>68.257000000000005</v>
      </c>
      <c r="DR17" s="833">
        <f t="shared" si="64"/>
        <v>67.887799999999999</v>
      </c>
      <c r="DS17" s="820">
        <v>0.26300000000000001</v>
      </c>
      <c r="DT17" s="833">
        <v>0</v>
      </c>
      <c r="DU17" s="820"/>
      <c r="DV17" s="833"/>
      <c r="DX17" t="s">
        <v>726</v>
      </c>
      <c r="DY17" s="2" t="s">
        <v>724</v>
      </c>
      <c r="DZ17" s="695">
        <v>0.1</v>
      </c>
      <c r="EA17" s="531" t="e">
        <f t="shared" ref="EA17:EA30" ca="1" si="67">B17/AVERAGE(S16:S17)</f>
        <v>#NAME?</v>
      </c>
    </row>
    <row r="18" spans="1:132" ht="16" customHeight="1">
      <c r="A18" s="831">
        <v>40908</v>
      </c>
      <c r="B18" s="810">
        <v>326.92700000000002</v>
      </c>
      <c r="C18" s="775">
        <v>39.984200000000001</v>
      </c>
      <c r="D18" s="811">
        <v>29.452400000000001</v>
      </c>
      <c r="E18" s="775">
        <v>8.4059000000000008</v>
      </c>
      <c r="F18" s="687">
        <v>45.59</v>
      </c>
      <c r="G18" s="812">
        <f t="shared" si="2"/>
        <v>13.94500913047867</v>
      </c>
      <c r="H18" s="74">
        <v>34.430999999999997</v>
      </c>
      <c r="I18" s="813">
        <f t="shared" si="65"/>
        <v>10.531708913610682</v>
      </c>
      <c r="J18" s="687">
        <v>0.68500000000000005</v>
      </c>
      <c r="K18" s="687">
        <f t="shared" si="3"/>
        <v>-0.60500000000000176</v>
      </c>
      <c r="L18" s="687">
        <v>34.350999999999999</v>
      </c>
      <c r="M18" s="775">
        <f t="shared" si="4"/>
        <v>10.507238619018924</v>
      </c>
      <c r="N18" s="197">
        <f t="shared" si="5"/>
        <v>0.23067741841576667</v>
      </c>
      <c r="O18" s="687">
        <v>26.427</v>
      </c>
      <c r="P18" s="775">
        <f t="shared" si="6"/>
        <v>8.0834559397051926</v>
      </c>
      <c r="Q18" s="805">
        <f t="shared" si="7"/>
        <v>0.22599999999999909</v>
      </c>
      <c r="R18" s="74">
        <v>26.201000000000001</v>
      </c>
      <c r="S18" s="812">
        <f t="shared" si="8"/>
        <v>72.856800000000007</v>
      </c>
      <c r="T18" s="814">
        <f t="shared" si="9"/>
        <v>0.36499999999999999</v>
      </c>
      <c r="U18" s="74" t="str">
        <f t="shared" ca="1" si="10"/>
        <v/>
      </c>
      <c r="V18" s="775" t="str">
        <f t="shared" ca="1" si="11"/>
        <v/>
      </c>
      <c r="W18" s="687">
        <f t="shared" ca="1" si="12"/>
        <v>0</v>
      </c>
      <c r="X18" s="699" t="str">
        <f t="shared" ca="1" si="13"/>
        <v/>
      </c>
      <c r="Y18" s="815">
        <f t="shared" si="14"/>
        <v>1.0360110972785974</v>
      </c>
      <c r="Z18" s="775">
        <f t="shared" si="15"/>
        <v>6.4380000000000006</v>
      </c>
      <c r="AA18" s="687" t="e">
        <f t="array" aca="1" ref="AA18" ca="1">_xll.BDP($BD$1,AA$15,"fund per=A","eqy fund year",YEAR($BB18))/$BG$4</f>
        <v>#NAME?</v>
      </c>
      <c r="AB18" s="775" t="str">
        <f t="shared" ca="1" si="16"/>
        <v/>
      </c>
      <c r="AC18" s="714" t="e">
        <f t="array" aca="1" ref="AC18" ca="1">_xll.BDP($BD$1,AC$15,"fund per=A","eqy fund year",YEAR($BB18))</f>
        <v>#NAME?</v>
      </c>
      <c r="AD18" s="180">
        <f t="shared" si="17"/>
        <v>0.27397260273972607</v>
      </c>
      <c r="AE18" s="816">
        <v>0.1</v>
      </c>
      <c r="AF18" s="784">
        <v>6.8333000000000004</v>
      </c>
      <c r="AG18" s="817">
        <v>1.4634</v>
      </c>
      <c r="AH18" s="775">
        <v>7.0137</v>
      </c>
      <c r="AI18" s="775" t="str">
        <f t="shared" ca="1" si="18"/>
        <v/>
      </c>
      <c r="AJ18" s="775" t="str">
        <f t="shared" ca="1" si="19"/>
        <v/>
      </c>
      <c r="AK18" s="805" t="str">
        <f t="shared" ca="1" si="20"/>
        <v/>
      </c>
      <c r="AL18" s="812" t="str">
        <f t="shared" ca="1" si="21"/>
        <v/>
      </c>
      <c r="AM18" s="812" t="str">
        <f t="shared" si="22"/>
        <v/>
      </c>
      <c r="AN18" s="805" t="str">
        <f t="shared" ca="1" si="23"/>
        <v/>
      </c>
      <c r="AO18" s="805" t="str">
        <f t="shared" ca="1" si="24"/>
        <v/>
      </c>
      <c r="AP18" s="805" t="str">
        <f t="shared" ca="1" si="25"/>
        <v/>
      </c>
      <c r="AQ18" s="805" t="str">
        <f t="shared" ca="1" si="26"/>
        <v/>
      </c>
      <c r="AR18" s="805" t="str">
        <f t="shared" ca="1" si="27"/>
        <v/>
      </c>
      <c r="AS18" s="784" t="str">
        <f t="shared" ca="1" si="28"/>
        <v/>
      </c>
      <c r="AU18" s="416">
        <v>455.21390000000002</v>
      </c>
      <c r="AV18" s="51">
        <v>0.50819999999999999</v>
      </c>
      <c r="AW18" s="53">
        <v>1.8966000000000001</v>
      </c>
      <c r="AX18" s="818" t="str">
        <f t="shared" ca="1" si="29"/>
        <v/>
      </c>
      <c r="AY18" s="175">
        <v>1.4634</v>
      </c>
      <c r="AZ18" s="46"/>
      <c r="BA18" s="46"/>
      <c r="BB18" s="464">
        <f t="shared" si="30"/>
        <v>40908</v>
      </c>
      <c r="BC18" s="832">
        <v>72.090900000000005</v>
      </c>
      <c r="BD18" s="820">
        <f t="shared" si="31"/>
        <v>72.856800000000007</v>
      </c>
      <c r="BE18" s="8"/>
      <c r="BF18" s="8">
        <f t="shared" si="32"/>
        <v>34.350999999999999</v>
      </c>
      <c r="BG18" s="8">
        <f t="shared" si="33"/>
        <v>34.350999999999999</v>
      </c>
      <c r="BH18" s="821">
        <v>0.42199999999999999</v>
      </c>
      <c r="BI18" s="821">
        <v>1.107</v>
      </c>
      <c r="BJ18" s="821">
        <f t="shared" si="34"/>
        <v>0.22599999999999909</v>
      </c>
      <c r="BK18" s="3" t="e">
        <f t="shared" ca="1" si="35"/>
        <v>#NAME?</v>
      </c>
      <c r="BL18" s="3" t="e">
        <f t="shared" ca="1" si="36"/>
        <v>#NAME?</v>
      </c>
      <c r="BM18" s="822" t="str">
        <f t="shared" ca="1" si="37"/>
        <v/>
      </c>
      <c r="BN18" s="327" t="e">
        <f t="shared" ca="1" si="38"/>
        <v>#NAME?</v>
      </c>
      <c r="BO18" s="8">
        <f t="shared" si="39"/>
        <v>31.366</v>
      </c>
      <c r="BP18" s="8">
        <f t="shared" si="40"/>
        <v>87.483999999999995</v>
      </c>
      <c r="BQ18" s="8">
        <v>0</v>
      </c>
      <c r="BR18" s="8">
        <f t="shared" si="41"/>
        <v>1.0220000000000198</v>
      </c>
      <c r="BS18" s="368" t="e">
        <f t="shared" ca="1" si="42"/>
        <v>#NAME?</v>
      </c>
      <c r="BT18" s="25"/>
      <c r="BU18" s="25">
        <v>0</v>
      </c>
      <c r="BV18" s="8">
        <f t="shared" si="43"/>
        <v>0</v>
      </c>
      <c r="BW18" s="8">
        <f t="shared" si="44"/>
        <v>45.59</v>
      </c>
      <c r="BX18" s="8">
        <f t="shared" si="45"/>
        <v>45.59</v>
      </c>
      <c r="BY18" s="822" t="str">
        <f t="shared" ca="1" si="46"/>
        <v/>
      </c>
      <c r="BZ18" s="327" t="e">
        <f t="shared" ca="1" si="47"/>
        <v>#NAME?</v>
      </c>
      <c r="CA18" s="8">
        <f t="shared" si="48"/>
        <v>0.22599999999999909</v>
      </c>
      <c r="CB18" s="8">
        <f t="shared" si="49"/>
        <v>26.201000000000001</v>
      </c>
      <c r="CC18" s="713">
        <f t="shared" si="50"/>
        <v>8.6256249761459142E-3</v>
      </c>
      <c r="CD18" s="8">
        <f t="shared" si="51"/>
        <v>45.196757757337508</v>
      </c>
      <c r="CE18" s="822" t="str">
        <f t="shared" ca="1" si="52"/>
        <v/>
      </c>
      <c r="CF18" s="338" t="s">
        <v>727</v>
      </c>
      <c r="CG18" s="29" t="e">
        <f t="array" aca="1" ref="CG18" ca="1">LEFT(_xll.BDP($BD$1,"latest announcement period","fund per",CG17,"eqy consolidated",CG16),4)&amp;MID(_xll.BDP($BD$1,"latest announcement period","fund per",CG17,"eqy consolidated",CG16),6,2)</f>
        <v>#NAME?</v>
      </c>
      <c r="CK18" s="765"/>
      <c r="CL18" s="327" t="e">
        <f t="array" aca="1" ref="CL18" ca="1">_xll.BDP($BD$1,CL$15,"fund per=A","eqy fund year",YEAR($BB18))/$BG$4</f>
        <v>#NAME?</v>
      </c>
      <c r="CM18" s="8" t="e">
        <f t="shared" ca="1" si="53"/>
        <v>#NAME?</v>
      </c>
      <c r="CN18" s="8" t="e">
        <f t="array" aca="1" ref="CN18" ca="1">_xll.BDP($BD$1,CN$15,"fund per=A","eqy fund year",YEAR($BB18))/$BG$4</f>
        <v>#NAME?</v>
      </c>
      <c r="CO18" s="8" t="e">
        <f t="shared" ca="1" si="54"/>
        <v>#NAME?</v>
      </c>
      <c r="CP18" s="8" t="e">
        <f t="shared" ca="1" si="55"/>
        <v>#NAME?</v>
      </c>
      <c r="CQ18" s="822" t="str">
        <f t="shared" ca="1" si="56"/>
        <v/>
      </c>
      <c r="CR18" s="380">
        <f t="shared" si="57"/>
        <v>1.4634</v>
      </c>
      <c r="CS18" s="821" t="str">
        <f t="shared" ca="1" si="58"/>
        <v/>
      </c>
      <c r="CT18" s="823" t="e">
        <f t="shared" ca="1" si="59"/>
        <v>#VALUE!</v>
      </c>
      <c r="CU18" s="821"/>
      <c r="CV18" s="822" t="e">
        <f t="shared" si="60"/>
        <v>#DIV/0!</v>
      </c>
      <c r="CW18" s="820" t="e">
        <f t="array" aca="1" ref="CW18" ca="1">_xll.BDP($BD$1,CW$15,"fund per=A","eqy fund year",YEAR($BB18))/$BG$4</f>
        <v>#NAME?</v>
      </c>
      <c r="CX18" s="821"/>
      <c r="CY18" s="821"/>
      <c r="CZ18" s="821"/>
      <c r="DA18" s="821"/>
      <c r="DB18" s="833" t="str">
        <f t="shared" ca="1" si="61"/>
        <v/>
      </c>
      <c r="DC18" s="820" t="e">
        <f t="array" aca="1" ref="DC18" ca="1">_xll.BDP($BD$1,DC$15,"fund per=A","eqy fund year",YEAR($BB18))/$BG$4</f>
        <v>#NAME?</v>
      </c>
      <c r="DD18" s="8"/>
      <c r="DE18" s="8"/>
      <c r="DF18" s="8"/>
      <c r="DG18" s="8"/>
      <c r="DH18" s="821" t="str">
        <f t="shared" si="66"/>
        <v/>
      </c>
      <c r="DI18" s="828">
        <f t="shared" ca="1" si="62"/>
        <v>0</v>
      </c>
      <c r="DJ18" s="338" t="e">
        <f t="array" aca="1" ref="DJ18" ca="1">_xll.BDP($BD$1,DJ$15,"fund per=A","eqy fund year",YEAR($BB18))/1</f>
        <v>#NAME?</v>
      </c>
      <c r="DK18" s="2"/>
      <c r="DL18" s="2"/>
      <c r="DM18" s="162"/>
      <c r="DN18" s="388" t="str">
        <f t="shared" ca="1" si="63"/>
        <v/>
      </c>
      <c r="DO18" s="820">
        <v>73.374099999999999</v>
      </c>
      <c r="DP18" s="821"/>
      <c r="DQ18" s="821">
        <v>80.067999999999998</v>
      </c>
      <c r="DR18" s="833">
        <f t="shared" si="64"/>
        <v>73.374099999999999</v>
      </c>
      <c r="DS18" s="820">
        <v>0.22600000000000001</v>
      </c>
      <c r="DT18" s="833">
        <v>0</v>
      </c>
      <c r="DU18" s="820"/>
      <c r="DV18" s="833"/>
      <c r="DX18" t="s">
        <v>728</v>
      </c>
      <c r="DY18" s="2" t="s">
        <v>729</v>
      </c>
      <c r="DZ18" s="695">
        <v>0.35</v>
      </c>
      <c r="EA18" s="531">
        <f t="shared" si="67"/>
        <v>4.3154720457990985</v>
      </c>
      <c r="EB18" s="531" t="e">
        <f t="shared" ref="EB18:EB30" ca="1" si="68">PRODUCT(100,(EA18-EA17)/EA17)</f>
        <v>#NAME?</v>
      </c>
    </row>
    <row r="19" spans="1:132" ht="16" customHeight="1">
      <c r="A19" s="831">
        <v>41274</v>
      </c>
      <c r="B19" s="810">
        <v>273.72000000000003</v>
      </c>
      <c r="C19" s="775">
        <v>39.715400000000002</v>
      </c>
      <c r="D19" s="811">
        <v>32.110599999999998</v>
      </c>
      <c r="E19" s="775">
        <v>9.9916</v>
      </c>
      <c r="F19" s="687">
        <v>32.393999999999998</v>
      </c>
      <c r="G19" s="812">
        <f t="shared" si="2"/>
        <v>11.834721613327487</v>
      </c>
      <c r="H19" s="74">
        <v>20.815999999999999</v>
      </c>
      <c r="I19" s="813">
        <f t="shared" si="65"/>
        <v>7.6048516732427283</v>
      </c>
      <c r="J19" s="687">
        <v>-0.10199999999999999</v>
      </c>
      <c r="K19" s="687">
        <f t="shared" si="3"/>
        <v>1.4039999999999997</v>
      </c>
      <c r="L19" s="687">
        <v>19.513999999999999</v>
      </c>
      <c r="M19" s="775">
        <f t="shared" si="4"/>
        <v>7.1291831068244909</v>
      </c>
      <c r="N19" s="197">
        <f t="shared" si="5"/>
        <v>0.190939838064979</v>
      </c>
      <c r="O19" s="687">
        <v>15.788</v>
      </c>
      <c r="P19" s="775">
        <f t="shared" si="6"/>
        <v>5.7679380388718391</v>
      </c>
      <c r="Q19" s="805">
        <f t="shared" si="7"/>
        <v>0.20100000000000051</v>
      </c>
      <c r="R19" s="74">
        <v>15.587</v>
      </c>
      <c r="S19" s="812">
        <f t="shared" si="8"/>
        <v>75.173199999999994</v>
      </c>
      <c r="T19" s="814">
        <f t="shared" si="9"/>
        <v>0.21</v>
      </c>
      <c r="U19" s="74" t="str">
        <f t="shared" ca="1" si="10"/>
        <v/>
      </c>
      <c r="V19" s="775" t="str">
        <f t="shared" ca="1" si="11"/>
        <v/>
      </c>
      <c r="W19" s="687">
        <f t="shared" ca="1" si="12"/>
        <v>0</v>
      </c>
      <c r="X19" s="699" t="str">
        <f t="shared" ca="1" si="13"/>
        <v/>
      </c>
      <c r="Y19" s="815">
        <f t="shared" si="14"/>
        <v>0.54179453456086502</v>
      </c>
      <c r="Z19" s="775">
        <f t="shared" si="15"/>
        <v>7.4769999999999994</v>
      </c>
      <c r="AA19" s="687" t="e">
        <f t="array" aca="1" ref="AA19" ca="1">_xll.BDP($BD$1,AA$15,"fund per=A","eqy fund year",YEAR($BB19))/$BG$4</f>
        <v>#NAME?</v>
      </c>
      <c r="AB19" s="775" t="str">
        <f t="shared" ca="1" si="16"/>
        <v/>
      </c>
      <c r="AC19" s="714" t="e">
        <f t="array" aca="1" ref="AC19" ca="1">_xll.BDP($BD$1,AC$15,"fund per=A","eqy fund year",YEAR($BB19))</f>
        <v>#NAME?</v>
      </c>
      <c r="AD19" s="180">
        <f t="shared" si="17"/>
        <v>0.52380952380952384</v>
      </c>
      <c r="AE19" s="816">
        <v>0.11</v>
      </c>
      <c r="AF19" s="784">
        <v>6.4019000000000004</v>
      </c>
      <c r="AG19" s="817">
        <v>1.7181999999999999</v>
      </c>
      <c r="AH19" s="775">
        <v>13.7857</v>
      </c>
      <c r="AI19" s="775" t="str">
        <f t="shared" ca="1" si="18"/>
        <v/>
      </c>
      <c r="AJ19" s="775" t="str">
        <f t="shared" ca="1" si="19"/>
        <v/>
      </c>
      <c r="AK19" s="805" t="str">
        <f t="shared" ca="1" si="20"/>
        <v/>
      </c>
      <c r="AL19" s="812" t="str">
        <f t="shared" ca="1" si="21"/>
        <v/>
      </c>
      <c r="AM19" s="812" t="str">
        <f t="shared" si="22"/>
        <v/>
      </c>
      <c r="AN19" s="805" t="str">
        <f t="shared" ca="1" si="23"/>
        <v/>
      </c>
      <c r="AO19" s="805" t="str">
        <f t="shared" ca="1" si="24"/>
        <v/>
      </c>
      <c r="AP19" s="805" t="str">
        <f t="shared" ca="1" si="25"/>
        <v/>
      </c>
      <c r="AQ19" s="805" t="str">
        <f t="shared" ca="1" si="26"/>
        <v/>
      </c>
      <c r="AR19" s="805" t="str">
        <f t="shared" ca="1" si="27"/>
        <v/>
      </c>
      <c r="AS19" s="784" t="str">
        <f t="shared" ca="1" si="28"/>
        <v/>
      </c>
      <c r="AU19" s="416">
        <v>351.96859999999998</v>
      </c>
      <c r="AV19" s="51">
        <v>0.27</v>
      </c>
      <c r="AW19" s="53">
        <v>2.2675700000000001</v>
      </c>
      <c r="AX19" s="818" t="str">
        <f t="shared" ca="1" si="29"/>
        <v/>
      </c>
      <c r="AY19" s="175">
        <v>1.7181999999999999</v>
      </c>
      <c r="AZ19" s="46"/>
      <c r="BA19" s="46"/>
      <c r="BB19" s="464">
        <f t="shared" si="30"/>
        <v>41274</v>
      </c>
      <c r="BC19" s="832">
        <v>74.765299999999996</v>
      </c>
      <c r="BD19" s="820">
        <f t="shared" si="31"/>
        <v>75.173199999999994</v>
      </c>
      <c r="BE19" s="8"/>
      <c r="BF19" s="8">
        <f t="shared" si="32"/>
        <v>19.513999999999999</v>
      </c>
      <c r="BG19" s="8">
        <f t="shared" si="33"/>
        <v>19.513999999999999</v>
      </c>
      <c r="BH19" s="821">
        <v>1.0189999999999999</v>
      </c>
      <c r="BI19" s="821">
        <v>0.91700000000000004</v>
      </c>
      <c r="BJ19" s="821">
        <f t="shared" si="34"/>
        <v>0.20100000000000051</v>
      </c>
      <c r="BK19" s="3" t="e">
        <f t="shared" ca="1" si="35"/>
        <v>#NAME?</v>
      </c>
      <c r="BL19" s="3" t="e">
        <f t="shared" ca="1" si="36"/>
        <v>#NAME?</v>
      </c>
      <c r="BM19" s="822" t="str">
        <f t="shared" ca="1" si="37"/>
        <v/>
      </c>
      <c r="BN19" s="327" t="e">
        <f t="shared" ca="1" si="38"/>
        <v>#NAME?</v>
      </c>
      <c r="BO19" s="8">
        <f t="shared" si="39"/>
        <v>35.856999999999999</v>
      </c>
      <c r="BP19" s="8">
        <f t="shared" si="40"/>
        <v>106.358</v>
      </c>
      <c r="BQ19" s="8">
        <v>0</v>
      </c>
      <c r="BR19" s="8">
        <f t="shared" si="41"/>
        <v>1.1570000000000391</v>
      </c>
      <c r="BS19" s="368" t="e">
        <f t="shared" ca="1" si="42"/>
        <v>#NAME?</v>
      </c>
      <c r="BT19" s="25"/>
      <c r="BU19" s="25">
        <v>0</v>
      </c>
      <c r="BV19" s="8">
        <f t="shared" si="43"/>
        <v>0</v>
      </c>
      <c r="BW19" s="8">
        <f t="shared" si="44"/>
        <v>32.393999999999998</v>
      </c>
      <c r="BX19" s="8">
        <f t="shared" si="45"/>
        <v>32.393999999999998</v>
      </c>
      <c r="BY19" s="822" t="str">
        <f t="shared" ca="1" si="46"/>
        <v/>
      </c>
      <c r="BZ19" s="327" t="e">
        <f t="shared" ca="1" si="47"/>
        <v>#NAME?</v>
      </c>
      <c r="CA19" s="8">
        <f t="shared" si="48"/>
        <v>0.20100000000000051</v>
      </c>
      <c r="CB19" s="8">
        <f t="shared" si="49"/>
        <v>15.587</v>
      </c>
      <c r="CC19" s="713">
        <f t="shared" si="50"/>
        <v>1.2895361519214762E-2</v>
      </c>
      <c r="CD19" s="8">
        <f t="shared" si="51"/>
        <v>31.976267658946554</v>
      </c>
      <c r="CE19" s="822" t="str">
        <f t="shared" ca="1" si="52"/>
        <v/>
      </c>
      <c r="CF19" s="338" t="s">
        <v>730</v>
      </c>
      <c r="CG19" s="2" t="e">
        <f ca="1">IF(CG17="S",IF(RIGHT(CG20)="A",LEFT(CG20,4)+1&amp;"S1",IF(RIGHT(CG20)="1",LEFT(CG20,4)&amp;"S2",LEFT(CG20,4)+1&amp;"S"&amp;IF(RIGHT(CG20)="2",1,2))),IF(RIGHT(CG20)="A",LEFT(CG20,4)+1&amp;"Q1",IF(RIGHT(CG20)="4",LEFT(CG20,4)+1&amp;"Q1",LEFT(CG20,4)&amp;"Q"&amp;RIGHT(CG20)+1)))</f>
        <v>#NAME?</v>
      </c>
      <c r="CH19" s="821" t="e">
        <f t="array" aca="1" ref="CH19" ca="1">IF($CG$17="S","",_xll.BDP($BD$1,$CH$15,"eqy fund per",RIGHT(CG19,2),"eqy fund year",LEFT(CG19,4))/$BG$4)</f>
        <v>#NAME?</v>
      </c>
      <c r="CI19" s="8"/>
      <c r="CJ19" s="3" t="e">
        <f t="array" aca="1" ref="CJ19" ca="1">IF(CG17="S","",_xll.BDP($BD$1,$CJ$15,"eqy fund per",RIGHT(CG19,2),"eqy fund year",LEFT(CG19,4)))</f>
        <v>#NAME?</v>
      </c>
      <c r="CK19" s="765"/>
      <c r="CL19" s="327" t="e">
        <f t="array" aca="1" ref="CL19" ca="1">_xll.BDP($BD$1,CL$15,"fund per=A","eqy fund year",YEAR($BB19))/$BG$4</f>
        <v>#NAME?</v>
      </c>
      <c r="CM19" s="8" t="e">
        <f t="shared" ca="1" si="53"/>
        <v>#NAME?</v>
      </c>
      <c r="CN19" s="8" t="e">
        <f t="array" aca="1" ref="CN19" ca="1">_xll.BDP($BD$1,CN$15,"fund per=A","eqy fund year",YEAR($BB19))/$BG$4</f>
        <v>#NAME?</v>
      </c>
      <c r="CO19" s="8" t="e">
        <f t="shared" ca="1" si="54"/>
        <v>#NAME?</v>
      </c>
      <c r="CP19" s="8" t="e">
        <f t="shared" ca="1" si="55"/>
        <v>#NAME?</v>
      </c>
      <c r="CQ19" s="822" t="str">
        <f t="shared" ca="1" si="56"/>
        <v/>
      </c>
      <c r="CR19" s="380">
        <f t="shared" si="57"/>
        <v>1.7181999999999999</v>
      </c>
      <c r="CS19" s="821" t="str">
        <f t="shared" ca="1" si="58"/>
        <v/>
      </c>
      <c r="CT19" s="823" t="e">
        <f t="shared" ca="1" si="59"/>
        <v>#VALUE!</v>
      </c>
      <c r="CU19" s="821"/>
      <c r="CV19" s="822" t="e">
        <f t="shared" si="60"/>
        <v>#DIV/0!</v>
      </c>
      <c r="CW19" s="820" t="e">
        <f t="array" aca="1" ref="CW19" ca="1">_xll.BDP($BD$1,CW$15,"fund per=A","eqy fund year",YEAR($BB19))/$BG$4</f>
        <v>#NAME?</v>
      </c>
      <c r="CX19" s="821"/>
      <c r="CY19" s="821"/>
      <c r="CZ19" s="821"/>
      <c r="DA19" s="821"/>
      <c r="DB19" s="833" t="str">
        <f t="shared" ca="1" si="61"/>
        <v/>
      </c>
      <c r="DC19" s="820" t="e">
        <f t="array" aca="1" ref="DC19" ca="1">_xll.BDP($BD$1,DC$15,"fund per=A","eqy fund year",YEAR($BB19))/$BG$4</f>
        <v>#NAME?</v>
      </c>
      <c r="DD19" s="8"/>
      <c r="DE19" s="8"/>
      <c r="DF19" s="8"/>
      <c r="DG19" s="8"/>
      <c r="DH19" s="821" t="str">
        <f t="shared" si="66"/>
        <v/>
      </c>
      <c r="DI19" s="828">
        <f t="shared" ca="1" si="62"/>
        <v>0</v>
      </c>
      <c r="DJ19" s="338" t="e">
        <f t="array" aca="1" ref="DJ19" ca="1">_xll.BDP($BD$1,DJ$15,"fund per=A","eqy fund year",YEAR($BB19))/1</f>
        <v>#NAME?</v>
      </c>
      <c r="DK19" s="2"/>
      <c r="DL19" s="2"/>
      <c r="DM19" s="162"/>
      <c r="DN19" s="388" t="str">
        <f t="shared" ca="1" si="63"/>
        <v/>
      </c>
      <c r="DO19" s="820">
        <v>75.258300000000006</v>
      </c>
      <c r="DP19" s="821"/>
      <c r="DQ19" s="821">
        <v>80.067999999999998</v>
      </c>
      <c r="DR19" s="833">
        <f t="shared" si="64"/>
        <v>75.258300000000006</v>
      </c>
      <c r="DS19" s="820">
        <v>0.20100000000000001</v>
      </c>
      <c r="DT19" s="833">
        <v>0</v>
      </c>
      <c r="DU19" s="820"/>
      <c r="DV19" s="833"/>
      <c r="DX19" t="s">
        <v>731</v>
      </c>
      <c r="DY19" s="2" t="s">
        <v>732</v>
      </c>
      <c r="DZ19" s="695">
        <v>0.25</v>
      </c>
      <c r="EA19" s="531">
        <f t="shared" si="67"/>
        <v>3.6981692900087824</v>
      </c>
      <c r="EB19" s="531">
        <f t="shared" si="68"/>
        <v>-14.304408631061118</v>
      </c>
    </row>
    <row r="20" spans="1:132" ht="16" customHeight="1">
      <c r="A20" s="831">
        <v>41639</v>
      </c>
      <c r="B20" s="810">
        <v>254.93600000000001</v>
      </c>
      <c r="C20" s="775">
        <v>39.825699999999998</v>
      </c>
      <c r="D20" s="811">
        <v>32.428100000000001</v>
      </c>
      <c r="E20" s="775">
        <v>9.7095000000000002</v>
      </c>
      <c r="F20" s="687">
        <v>27.943000000000001</v>
      </c>
      <c r="G20" s="812">
        <f t="shared" si="2"/>
        <v>10.960790159098755</v>
      </c>
      <c r="H20" s="74">
        <v>18.859000000000002</v>
      </c>
      <c r="I20" s="813">
        <f t="shared" si="65"/>
        <v>7.3975429127310397</v>
      </c>
      <c r="J20" s="687">
        <v>-0.254</v>
      </c>
      <c r="K20" s="687">
        <f t="shared" si="3"/>
        <v>-3.8999999999999257E-2</v>
      </c>
      <c r="L20" s="687">
        <v>19.152000000000001</v>
      </c>
      <c r="M20" s="775">
        <f t="shared" si="4"/>
        <v>7.5124737188941539</v>
      </c>
      <c r="N20" s="197">
        <f t="shared" si="5"/>
        <v>0.15794695071010859</v>
      </c>
      <c r="O20" s="687">
        <v>16.126999999999999</v>
      </c>
      <c r="P20" s="775">
        <f t="shared" si="6"/>
        <v>6.325901402704992</v>
      </c>
      <c r="Q20" s="805">
        <f t="shared" si="7"/>
        <v>0.11199999999999832</v>
      </c>
      <c r="R20" s="74">
        <v>16.015000000000001</v>
      </c>
      <c r="S20" s="812">
        <f t="shared" si="8"/>
        <v>75.100700000000003</v>
      </c>
      <c r="T20" s="814">
        <f t="shared" si="9"/>
        <v>0.215</v>
      </c>
      <c r="U20" s="74" t="str">
        <f t="shared" ca="1" si="10"/>
        <v/>
      </c>
      <c r="V20" s="775" t="str">
        <f t="shared" ca="1" si="11"/>
        <v/>
      </c>
      <c r="W20" s="687">
        <f t="shared" ca="1" si="12"/>
        <v>0</v>
      </c>
      <c r="X20" s="699" t="str">
        <f t="shared" ca="1" si="13"/>
        <v/>
      </c>
      <c r="Y20" s="815">
        <f t="shared" si="14"/>
        <v>0.46011547996359875</v>
      </c>
      <c r="Z20" s="775">
        <f t="shared" si="15"/>
        <v>5.05</v>
      </c>
      <c r="AA20" s="687" t="e">
        <f t="array" aca="1" ref="AA20" ca="1">_xll.BDP($BD$1,AA$15,"fund per=A","eqy fund year",YEAR($BB20))/$BG$4</f>
        <v>#NAME?</v>
      </c>
      <c r="AB20" s="775" t="str">
        <f t="shared" ca="1" si="16"/>
        <v/>
      </c>
      <c r="AC20" s="714" t="e">
        <f t="array" aca="1" ref="AC20" ca="1">_xll.BDP($BD$1,AC$15,"fund per=A","eqy fund year",YEAR($BB20))</f>
        <v>#NAME?</v>
      </c>
      <c r="AD20" s="180">
        <f t="shared" si="17"/>
        <v>0.69767441860465118</v>
      </c>
      <c r="AE20" s="816">
        <v>0.15</v>
      </c>
      <c r="AF20" s="784">
        <v>5.8920000000000003</v>
      </c>
      <c r="AG20" s="817">
        <v>2.5457999999999998</v>
      </c>
      <c r="AH20" s="775">
        <v>19.104700000000001</v>
      </c>
      <c r="AI20" s="775" t="str">
        <f t="shared" ca="1" si="18"/>
        <v/>
      </c>
      <c r="AJ20" s="775" t="str">
        <f t="shared" ca="1" si="19"/>
        <v/>
      </c>
      <c r="AK20" s="805" t="str">
        <f t="shared" ca="1" si="20"/>
        <v/>
      </c>
      <c r="AL20" s="812" t="str">
        <f t="shared" ca="1" si="21"/>
        <v/>
      </c>
      <c r="AM20" s="812" t="str">
        <f t="shared" si="22"/>
        <v/>
      </c>
      <c r="AN20" s="805" t="str">
        <f t="shared" ca="1" si="23"/>
        <v/>
      </c>
      <c r="AO20" s="805" t="str">
        <f t="shared" ca="1" si="24"/>
        <v/>
      </c>
      <c r="AP20" s="805" t="str">
        <f t="shared" ca="1" si="25"/>
        <v/>
      </c>
      <c r="AQ20" s="805" t="str">
        <f t="shared" ca="1" si="26"/>
        <v/>
      </c>
      <c r="AR20" s="805" t="str">
        <f t="shared" ca="1" si="27"/>
        <v/>
      </c>
      <c r="AS20" s="784" t="str">
        <f t="shared" ca="1" si="28"/>
        <v/>
      </c>
      <c r="AU20" s="416">
        <v>338.63440000000003</v>
      </c>
      <c r="AV20" s="51">
        <v>0.28560000000000002</v>
      </c>
      <c r="AW20" s="53">
        <v>3.5104299999999999</v>
      </c>
      <c r="AX20" s="818" t="str">
        <f t="shared" ca="1" si="29"/>
        <v/>
      </c>
      <c r="AY20" s="175">
        <v>2.5457999999999998</v>
      </c>
      <c r="AZ20" s="46"/>
      <c r="BA20" s="46"/>
      <c r="BB20" s="464">
        <f t="shared" si="30"/>
        <v>41639</v>
      </c>
      <c r="BC20" s="832">
        <v>74.686700000000002</v>
      </c>
      <c r="BD20" s="820">
        <f t="shared" si="31"/>
        <v>75.100700000000003</v>
      </c>
      <c r="BE20" s="8"/>
      <c r="BF20" s="8">
        <f t="shared" si="32"/>
        <v>19.152000000000001</v>
      </c>
      <c r="BG20" s="8">
        <f t="shared" si="33"/>
        <v>19.152000000000001</v>
      </c>
      <c r="BH20" s="821">
        <v>0.78600000000000003</v>
      </c>
      <c r="BI20" s="821">
        <v>0.53200000000000003</v>
      </c>
      <c r="BJ20" s="821">
        <f t="shared" si="34"/>
        <v>0.11199999999999832</v>
      </c>
      <c r="BK20" s="3" t="e">
        <f t="shared" ca="1" si="35"/>
        <v>#NAME?</v>
      </c>
      <c r="BL20" s="3" t="e">
        <f t="shared" ca="1" si="36"/>
        <v>#NAME?</v>
      </c>
      <c r="BM20" s="822" t="str">
        <f t="shared" ca="1" si="37"/>
        <v/>
      </c>
      <c r="BN20" s="327" t="e">
        <f t="shared" ca="1" si="38"/>
        <v>#NAME?</v>
      </c>
      <c r="BO20" s="8">
        <f t="shared" si="39"/>
        <v>26.75</v>
      </c>
      <c r="BP20" s="8">
        <f t="shared" si="40"/>
        <v>89.585999999999999</v>
      </c>
      <c r="BQ20" s="8">
        <v>0</v>
      </c>
      <c r="BR20" s="8">
        <f t="shared" si="41"/>
        <v>1.1930000000000405</v>
      </c>
      <c r="BS20" s="368" t="e">
        <f t="shared" ca="1" si="42"/>
        <v>#NAME?</v>
      </c>
      <c r="BT20" s="25"/>
      <c r="BU20" s="25">
        <v>0</v>
      </c>
      <c r="BV20" s="8">
        <f t="shared" si="43"/>
        <v>0</v>
      </c>
      <c r="BW20" s="8">
        <f t="shared" si="44"/>
        <v>27.943000000000001</v>
      </c>
      <c r="BX20" s="8">
        <f t="shared" si="45"/>
        <v>27.943000000000001</v>
      </c>
      <c r="BY20" s="822" t="str">
        <f t="shared" ca="1" si="46"/>
        <v/>
      </c>
      <c r="BZ20" s="327" t="e">
        <f t="shared" ca="1" si="47"/>
        <v>#NAME?</v>
      </c>
      <c r="CA20" s="8">
        <f t="shared" si="48"/>
        <v>0.11199999999999832</v>
      </c>
      <c r="CB20" s="8">
        <f t="shared" si="49"/>
        <v>16.015000000000001</v>
      </c>
      <c r="CC20" s="713">
        <f t="shared" si="50"/>
        <v>6.9934436465812254E-3</v>
      </c>
      <c r="CD20" s="8">
        <f t="shared" si="51"/>
        <v>27.74758220418358</v>
      </c>
      <c r="CE20" s="822" t="str">
        <f t="shared" ca="1" si="52"/>
        <v/>
      </c>
      <c r="CF20" s="338" t="s">
        <v>733</v>
      </c>
      <c r="CG20" s="2" t="e">
        <f ca="1">IF(CG17="S",IF(RIGHT(CG21)="A",LEFT(CG21,4)+1&amp;"S1",IF(RIGHT(CG21)="1",LEFT(CG21,4)&amp;"S2",LEFT(CG21,4)+1&amp;"S"&amp;IF(RIGHT(CG21)="2",1,2))),IF(RIGHT(CG21)="A",LEFT(CG21,4)+1&amp;"Q1",IF(RIGHT(CG21)="4",LEFT(CG21,4)+1&amp;"Q1",LEFT(CG21,4)&amp;"Q"&amp;RIGHT(CG21)+1)))</f>
        <v>#NAME?</v>
      </c>
      <c r="CH20" s="821" t="e">
        <f t="array" aca="1" ref="CH20" ca="1">IF($CG$17="S","",_xll.BDP($BD$1,$CH$15,"eqy fund per",RIGHT(CG20,2),"eqy fund year",LEFT(CG20,4))/$BG$4)</f>
        <v>#NAME?</v>
      </c>
      <c r="CI20" s="8" t="e">
        <f t="array" aca="1" ref="CI20" ca="1">IF($CG$17="Q","",_xll.BDP($BD$1,$CH$15,"eqy fund per",RIGHT(CG20,2),"eqy fund year",LEFT(CG20,4))/$BG$4)</f>
        <v>#NAME?</v>
      </c>
      <c r="CJ20" s="3" t="e">
        <f t="array" aca="1" ref="CJ20" ca="1">IF(CG17="S","",_xll.BDP($BD$1,$CJ$15,"eqy fund per",RIGHT(CG20,2),"eqy fund year",LEFT(CG20,4)))</f>
        <v>#NAME?</v>
      </c>
      <c r="CK20" s="834" t="e">
        <f t="array" aca="1" ref="CK20" ca="1">IF(CG17="Q","",_xll.BDP($BD$1,$CJ$15,"eqy fund per",RIGHT(CG20,2),"eqy fund year",LEFT(CG20,4)))</f>
        <v>#NAME?</v>
      </c>
      <c r="CL20" s="327" t="e">
        <f t="array" aca="1" ref="CL20" ca="1">_xll.BDP($BD$1,CL$15,"fund per=A","eqy fund year",YEAR($BB20))/$BG$4</f>
        <v>#NAME?</v>
      </c>
      <c r="CM20" s="8" t="e">
        <f t="shared" ca="1" si="53"/>
        <v>#NAME?</v>
      </c>
      <c r="CN20" s="8" t="e">
        <f t="array" aca="1" ref="CN20" ca="1">_xll.BDP($BD$1,CN$15,"fund per=A","eqy fund year",YEAR($BB20))/$BG$4</f>
        <v>#NAME?</v>
      </c>
      <c r="CO20" s="8" t="e">
        <f t="shared" ca="1" si="54"/>
        <v>#NAME?</v>
      </c>
      <c r="CP20" s="8" t="e">
        <f t="shared" ca="1" si="55"/>
        <v>#NAME?</v>
      </c>
      <c r="CQ20" s="822" t="str">
        <f t="shared" ca="1" si="56"/>
        <v/>
      </c>
      <c r="CR20" s="380">
        <f t="shared" si="57"/>
        <v>2.5457999999999998</v>
      </c>
      <c r="CS20" s="821" t="str">
        <f t="shared" ca="1" si="58"/>
        <v/>
      </c>
      <c r="CT20" s="823" t="e">
        <f t="shared" ca="1" si="59"/>
        <v>#VALUE!</v>
      </c>
      <c r="CU20" s="821"/>
      <c r="CV20" s="822" t="e">
        <f t="shared" si="60"/>
        <v>#DIV/0!</v>
      </c>
      <c r="CW20" s="820" t="e">
        <f t="array" aca="1" ref="CW20" ca="1">_xll.BDP($BD$1,CW$15,"fund per=A","eqy fund year",YEAR($BB20))/$BG$4</f>
        <v>#NAME?</v>
      </c>
      <c r="CX20" s="821"/>
      <c r="CY20" s="821"/>
      <c r="CZ20" s="821"/>
      <c r="DA20" s="821"/>
      <c r="DB20" s="833" t="str">
        <f t="shared" ca="1" si="61"/>
        <v/>
      </c>
      <c r="DC20" s="820" t="e">
        <f t="array" aca="1" ref="DC20" ca="1">_xll.BDP($BD$1,DC$15,"fund per=A","eqy fund year",YEAR($BB20))/$BG$4</f>
        <v>#NAME?</v>
      </c>
      <c r="DD20" s="8"/>
      <c r="DE20" s="8"/>
      <c r="DF20" s="8"/>
      <c r="DG20" s="8"/>
      <c r="DH20" s="821" t="str">
        <f t="shared" si="66"/>
        <v/>
      </c>
      <c r="DI20" s="828">
        <f t="shared" ca="1" si="62"/>
        <v>0</v>
      </c>
      <c r="DJ20" s="338" t="e">
        <f t="array" aca="1" ref="DJ20" ca="1">_xll.BDP($BD$1,DJ$15,"fund per=A","eqy fund year",YEAR($BB20))/1</f>
        <v>#NAME?</v>
      </c>
      <c r="DK20" s="2"/>
      <c r="DL20" s="2"/>
      <c r="DM20" s="162"/>
      <c r="DN20" s="388" t="str">
        <f t="shared" ca="1" si="63"/>
        <v/>
      </c>
      <c r="DO20" s="820">
        <v>74.613900000000001</v>
      </c>
      <c r="DP20" s="821"/>
      <c r="DQ20" s="821">
        <v>80.067999999999998</v>
      </c>
      <c r="DR20" s="833">
        <f t="shared" si="64"/>
        <v>74.613900000000001</v>
      </c>
      <c r="DS20" s="820">
        <v>0.112</v>
      </c>
      <c r="DT20" s="833">
        <v>0</v>
      </c>
      <c r="DU20" s="820"/>
      <c r="DV20" s="833"/>
      <c r="DX20" t="s">
        <v>734</v>
      </c>
      <c r="DY20" s="2" t="s">
        <v>735</v>
      </c>
      <c r="DZ20" s="695">
        <v>0.05</v>
      </c>
      <c r="EA20" s="531">
        <f t="shared" si="67"/>
        <v>3.3929511378888817</v>
      </c>
      <c r="EB20" s="531">
        <f t="shared" si="68"/>
        <v>-8.2532228295902552</v>
      </c>
    </row>
    <row r="21" spans="1:132" ht="16" customHeight="1">
      <c r="A21" s="831">
        <v>42004</v>
      </c>
      <c r="B21" s="810">
        <v>378.79700000000003</v>
      </c>
      <c r="C21" s="775">
        <v>43.779600000000002</v>
      </c>
      <c r="D21" s="811">
        <v>24.754200000000001</v>
      </c>
      <c r="E21" s="775">
        <v>7.3643999999999998</v>
      </c>
      <c r="F21" s="687">
        <v>82.108000000000004</v>
      </c>
      <c r="G21" s="812">
        <f t="shared" si="2"/>
        <v>21.675990042159786</v>
      </c>
      <c r="H21" s="74">
        <v>72.067999999999998</v>
      </c>
      <c r="I21" s="813">
        <f t="shared" si="65"/>
        <v>19.025493866107702</v>
      </c>
      <c r="J21" s="687">
        <v>-0.317</v>
      </c>
      <c r="K21" s="687">
        <f t="shared" si="3"/>
        <v>1.0579999999999996</v>
      </c>
      <c r="L21" s="687">
        <v>71.326999999999998</v>
      </c>
      <c r="M21" s="775">
        <f t="shared" si="4"/>
        <v>18.829874576620192</v>
      </c>
      <c r="N21" s="197">
        <f t="shared" si="5"/>
        <v>2.7479075244998389E-3</v>
      </c>
      <c r="O21" s="687">
        <v>71.131</v>
      </c>
      <c r="P21" s="775">
        <f t="shared" si="6"/>
        <v>18.77813182258571</v>
      </c>
      <c r="Q21" s="805">
        <f t="shared" si="7"/>
        <v>0</v>
      </c>
      <c r="R21" s="74">
        <v>71.131</v>
      </c>
      <c r="S21" s="812">
        <f t="shared" si="8"/>
        <v>75.965599999999995</v>
      </c>
      <c r="T21" s="814">
        <f t="shared" si="9"/>
        <v>0.93500000000000005</v>
      </c>
      <c r="U21" s="74" t="str">
        <f t="shared" ca="1" si="10"/>
        <v/>
      </c>
      <c r="V21" s="775" t="str">
        <f t="shared" ca="1" si="11"/>
        <v/>
      </c>
      <c r="W21" s="687">
        <f t="shared" ca="1" si="12"/>
        <v>0</v>
      </c>
      <c r="X21" s="699" t="str">
        <f t="shared" ca="1" si="13"/>
        <v/>
      </c>
      <c r="Y21" s="815">
        <f t="shared" si="14"/>
        <v>1.0213914048949702</v>
      </c>
      <c r="Z21" s="775">
        <f t="shared" si="15"/>
        <v>5.9599999999999991</v>
      </c>
      <c r="AA21" s="687" t="e">
        <f t="array" aca="1" ref="AA21" ca="1">_xll.BDP($BD$1,AA$15,"fund per=A","eqy fund year",YEAR($BB21))/$BG$4</f>
        <v>#NAME?</v>
      </c>
      <c r="AB21" s="775" t="str">
        <f t="shared" ca="1" si="16"/>
        <v/>
      </c>
      <c r="AC21" s="714" t="e">
        <f t="array" aca="1" ref="AC21" ca="1">_xll.BDP($BD$1,AC$15,"fund per=A","eqy fund year",YEAR($BB21))</f>
        <v>#NAME?</v>
      </c>
      <c r="AD21" s="180">
        <f t="shared" si="17"/>
        <v>0.17647058823529413</v>
      </c>
      <c r="AE21" s="816">
        <v>0.16500000000000001</v>
      </c>
      <c r="AF21" s="784">
        <v>2.7964000000000002</v>
      </c>
      <c r="AG21" s="817">
        <v>5.9004000000000003</v>
      </c>
      <c r="AH21" s="775">
        <v>9.8041999999999998</v>
      </c>
      <c r="AI21" s="775" t="str">
        <f t="shared" ca="1" si="18"/>
        <v/>
      </c>
      <c r="AJ21" s="775" t="str">
        <f t="shared" ca="1" si="19"/>
        <v/>
      </c>
      <c r="AK21" s="805" t="str">
        <f t="shared" ca="1" si="20"/>
        <v/>
      </c>
      <c r="AL21" s="812" t="str">
        <f t="shared" ca="1" si="21"/>
        <v/>
      </c>
      <c r="AM21" s="812" t="str">
        <f t="shared" si="22"/>
        <v/>
      </c>
      <c r="AN21" s="805" t="str">
        <f t="shared" ca="1" si="23"/>
        <v/>
      </c>
      <c r="AO21" s="805" t="str">
        <f t="shared" ca="1" si="24"/>
        <v/>
      </c>
      <c r="AP21" s="805" t="str">
        <f t="shared" ca="1" si="25"/>
        <v/>
      </c>
      <c r="AQ21" s="805" t="str">
        <f t="shared" ca="1" si="26"/>
        <v/>
      </c>
      <c r="AR21" s="805" t="str">
        <f t="shared" ca="1" si="27"/>
        <v/>
      </c>
      <c r="AS21" s="784" t="str">
        <f t="shared" ca="1" si="28"/>
        <v/>
      </c>
      <c r="AU21" s="416">
        <v>503.22640000000001</v>
      </c>
      <c r="AV21" s="51">
        <v>1.2421</v>
      </c>
      <c r="AW21" s="53">
        <v>7.1395</v>
      </c>
      <c r="AX21" s="818" t="str">
        <f t="shared" ca="1" si="29"/>
        <v/>
      </c>
      <c r="AY21" s="175">
        <v>5.9004000000000003</v>
      </c>
      <c r="AZ21" s="46"/>
      <c r="BA21" s="46"/>
      <c r="BB21" s="464">
        <f t="shared" si="30"/>
        <v>42004</v>
      </c>
      <c r="BC21" s="832">
        <v>75.079899999999995</v>
      </c>
      <c r="BD21" s="820">
        <f t="shared" si="31"/>
        <v>75.965599999999995</v>
      </c>
      <c r="BE21" s="8"/>
      <c r="BF21" s="8">
        <f t="shared" si="32"/>
        <v>71.326999999999998</v>
      </c>
      <c r="BG21" s="8">
        <f t="shared" si="33"/>
        <v>71.326999999999998</v>
      </c>
      <c r="BH21" s="821">
        <v>0.69599999999999995</v>
      </c>
      <c r="BI21" s="821">
        <v>0.379</v>
      </c>
      <c r="BJ21" s="821">
        <f t="shared" si="34"/>
        <v>0</v>
      </c>
      <c r="BK21" s="3" t="e">
        <f t="shared" ca="1" si="35"/>
        <v>#NAME?</v>
      </c>
      <c r="BL21" s="3" t="e">
        <f t="shared" ca="1" si="36"/>
        <v>#NAME?</v>
      </c>
      <c r="BM21" s="822" t="str">
        <f t="shared" ca="1" si="37"/>
        <v/>
      </c>
      <c r="BN21" s="327" t="e">
        <f t="shared" ca="1" si="38"/>
        <v>#NAME?</v>
      </c>
      <c r="BO21" s="8">
        <f t="shared" si="39"/>
        <v>31.608000000000001</v>
      </c>
      <c r="BP21" s="8">
        <f t="shared" si="40"/>
        <v>135.322</v>
      </c>
      <c r="BQ21" s="8">
        <v>0</v>
      </c>
      <c r="BR21" s="8">
        <f t="shared" si="41"/>
        <v>1.52800000000002</v>
      </c>
      <c r="BS21" s="368" t="e">
        <f t="shared" ca="1" si="42"/>
        <v>#NAME?</v>
      </c>
      <c r="BT21" s="25"/>
      <c r="BU21" s="25">
        <v>0</v>
      </c>
      <c r="BV21" s="8">
        <f t="shared" si="43"/>
        <v>0</v>
      </c>
      <c r="BW21" s="8">
        <f t="shared" si="44"/>
        <v>82.108000000000004</v>
      </c>
      <c r="BX21" s="8">
        <f t="shared" si="45"/>
        <v>82.108000000000004</v>
      </c>
      <c r="BY21" s="822" t="str">
        <f t="shared" ca="1" si="46"/>
        <v/>
      </c>
      <c r="BZ21" s="327" t="e">
        <f t="shared" ca="1" si="47"/>
        <v>#NAME?</v>
      </c>
      <c r="CA21" s="8">
        <f t="shared" si="48"/>
        <v>0</v>
      </c>
      <c r="CB21" s="8">
        <f t="shared" si="49"/>
        <v>71.131</v>
      </c>
      <c r="CC21" s="713">
        <f t="shared" si="50"/>
        <v>0</v>
      </c>
      <c r="CD21" s="8">
        <f t="shared" si="51"/>
        <v>82.108000000000004</v>
      </c>
      <c r="CE21" s="822" t="str">
        <f t="shared" ca="1" si="52"/>
        <v/>
      </c>
      <c r="CF21" s="338" t="s">
        <v>736</v>
      </c>
      <c r="CG21" s="2" t="e">
        <f ca="1">IF(RIGHT(CG18,1)="A",LEFT(CG18,4)&amp;IF(RIGHT(CG17,1)="S","S2",IF(RIGHT(CG17,1)="Q","Q4","-")),IF(LEFT(RIGHT(CG18,2),1)&lt;&gt;RIGHT(CG17,1),LEFT(CG18,4)&amp;RIGHT(CG17,1)&amp;RIGHT(CG18,1),CG18))</f>
        <v>#NAME?</v>
      </c>
      <c r="CH21" s="821" t="e">
        <f t="array" aca="1" ref="CH21" ca="1">IF($CG$17="S","",_xll.BDP($BD$1,$CI$15,"eqy fund per",RIGHT(CG21,2),"eqy fund year",LEFT(CG21,4))/$BG$4)</f>
        <v>#NAME?</v>
      </c>
      <c r="CI21" s="8" t="e">
        <f t="array" aca="1" ref="CI21" ca="1">IF($CG$17="Q","",_xll.BDP($BD$1,$CI$15,"eqy fund per",RIGHT(CG21,2),"eqy fund year",LEFT(CG21,4))/$BG$4)</f>
        <v>#NAME?</v>
      </c>
      <c r="CJ21" s="3" t="e">
        <f t="array" aca="1" ref="CJ21" ca="1">IF($CG$17="S","",_xll.BDP($BD$1,$CK$15,"eqy fund per",RIGHT(CG21,2),"eqy fund year",LEFT(CG21,4)))</f>
        <v>#NAME?</v>
      </c>
      <c r="CK21" s="834" t="e">
        <f t="array" aca="1" ref="CK21" ca="1">IF($CG$17="Q","",_xll.BDP($BD$1,$CK$15,"eqy fund per",RIGHT(CG21,2),"eqy fund year",LEFT(CG21,4)))</f>
        <v>#NAME?</v>
      </c>
      <c r="CL21" s="327" t="e">
        <f t="array" aca="1" ref="CL21" ca="1">_xll.BDP($BD$1,CL$15,"fund per=A","eqy fund year",YEAR($BB21))/$BG$4</f>
        <v>#NAME?</v>
      </c>
      <c r="CM21" s="8" t="e">
        <f t="shared" ca="1" si="53"/>
        <v>#NAME?</v>
      </c>
      <c r="CN21" s="8" t="e">
        <f t="array" aca="1" ref="CN21" ca="1">_xll.BDP($BD$1,CN$15,"fund per=A","eqy fund year",YEAR($BB21))/$BG$4</f>
        <v>#NAME?</v>
      </c>
      <c r="CO21" s="8" t="e">
        <f t="shared" ca="1" si="54"/>
        <v>#NAME?</v>
      </c>
      <c r="CP21" s="8" t="e">
        <f t="shared" ca="1" si="55"/>
        <v>#NAME?</v>
      </c>
      <c r="CQ21" s="822" t="str">
        <f t="shared" ca="1" si="56"/>
        <v/>
      </c>
      <c r="CR21" s="380">
        <f t="shared" si="57"/>
        <v>5.9004000000000003</v>
      </c>
      <c r="CS21" s="821" t="str">
        <f t="shared" ca="1" si="58"/>
        <v/>
      </c>
      <c r="CT21" s="823" t="e">
        <f t="shared" ca="1" si="59"/>
        <v>#VALUE!</v>
      </c>
      <c r="CU21" s="821"/>
      <c r="CV21" s="822" t="e">
        <f t="shared" si="60"/>
        <v>#DIV/0!</v>
      </c>
      <c r="CW21" s="820" t="e">
        <f t="array" aca="1" ref="CW21" ca="1">_xll.BDP($BD$1,CW$15,"fund per=A","eqy fund year",YEAR($BB21))/$BG$4</f>
        <v>#NAME?</v>
      </c>
      <c r="CX21" s="821"/>
      <c r="CY21" s="821"/>
      <c r="CZ21" s="821"/>
      <c r="DA21" s="821"/>
      <c r="DB21" s="833" t="str">
        <f t="shared" ca="1" si="61"/>
        <v/>
      </c>
      <c r="DC21" s="820" t="e">
        <f t="array" aca="1" ref="DC21" ca="1">_xll.BDP($BD$1,DC$15,"fund per=A","eqy fund year",YEAR($BB21))/$BG$4</f>
        <v>#NAME?</v>
      </c>
      <c r="DD21" s="8"/>
      <c r="DE21" s="8"/>
      <c r="DF21" s="8"/>
      <c r="DG21" s="8"/>
      <c r="DH21" s="821" t="str">
        <f t="shared" si="66"/>
        <v/>
      </c>
      <c r="DI21" s="828">
        <f t="shared" ca="1" si="62"/>
        <v>0</v>
      </c>
      <c r="DJ21" s="338" t="e">
        <f t="array" aca="1" ref="DJ21" ca="1">_xll.BDP($BD$1,DJ$15,"fund per=A","eqy fund year",YEAR($BB21))/1</f>
        <v>#NAME?</v>
      </c>
      <c r="DK21" s="2"/>
      <c r="DL21" s="2"/>
      <c r="DM21" s="162"/>
      <c r="DN21" s="388" t="str">
        <f t="shared" ca="1" si="63"/>
        <v/>
      </c>
      <c r="DO21" s="820">
        <v>75.4251</v>
      </c>
      <c r="DP21" s="821"/>
      <c r="DQ21" s="821">
        <v>80.067999999999998</v>
      </c>
      <c r="DR21" s="833">
        <f t="shared" si="64"/>
        <v>75.4251</v>
      </c>
      <c r="DS21" s="820"/>
      <c r="DT21" s="833">
        <v>0</v>
      </c>
      <c r="DU21" s="820"/>
      <c r="DV21" s="833"/>
      <c r="DX21" t="s">
        <v>737</v>
      </c>
      <c r="DY21" s="2" t="s">
        <v>738</v>
      </c>
      <c r="DZ21" s="695">
        <v>0.12</v>
      </c>
      <c r="EA21" s="531">
        <f t="shared" si="67"/>
        <v>5.014976867772627</v>
      </c>
      <c r="EB21" s="531">
        <f t="shared" si="68"/>
        <v>47.805749743068247</v>
      </c>
    </row>
    <row r="22" spans="1:132" ht="16" customHeight="1">
      <c r="A22" s="831">
        <v>42369</v>
      </c>
      <c r="B22" s="810">
        <v>349.20600000000002</v>
      </c>
      <c r="C22" s="775">
        <v>48.807899999999997</v>
      </c>
      <c r="D22" s="811">
        <v>32.2288</v>
      </c>
      <c r="E22" s="775">
        <v>11.012700000000001</v>
      </c>
      <c r="F22" s="687">
        <v>72.671999999999997</v>
      </c>
      <c r="G22" s="812">
        <f t="shared" si="2"/>
        <v>20.810638992457172</v>
      </c>
      <c r="H22" s="74">
        <v>57.895000000000003</v>
      </c>
      <c r="I22" s="813">
        <f t="shared" si="65"/>
        <v>16.579039306312033</v>
      </c>
      <c r="J22" s="687">
        <v>-2.4E-2</v>
      </c>
      <c r="K22" s="687">
        <f t="shared" si="3"/>
        <v>0.81700000000000639</v>
      </c>
      <c r="L22" s="687">
        <v>57.101999999999997</v>
      </c>
      <c r="M22" s="775">
        <f t="shared" si="4"/>
        <v>16.351952715589078</v>
      </c>
      <c r="N22" s="197">
        <f t="shared" si="5"/>
        <v>0.14267451227627756</v>
      </c>
      <c r="O22" s="687">
        <v>48.954999999999998</v>
      </c>
      <c r="P22" s="775">
        <f t="shared" si="6"/>
        <v>14.018945837127655</v>
      </c>
      <c r="Q22" s="805">
        <f t="shared" si="7"/>
        <v>-2.4999999999998579E-2</v>
      </c>
      <c r="R22" s="74">
        <v>48.98</v>
      </c>
      <c r="S22" s="812">
        <f t="shared" si="8"/>
        <v>77.007599999999996</v>
      </c>
      <c r="T22" s="814">
        <f t="shared" si="9"/>
        <v>0.63500000000000001</v>
      </c>
      <c r="U22" s="74" t="str">
        <f t="shared" ca="1" si="10"/>
        <v/>
      </c>
      <c r="V22" s="775" t="str">
        <f t="shared" ca="1" si="11"/>
        <v/>
      </c>
      <c r="W22" s="687">
        <f t="shared" ca="1" si="12"/>
        <v>54.6</v>
      </c>
      <c r="X22" s="699" t="str">
        <f t="shared" ca="1" si="13"/>
        <v/>
      </c>
      <c r="Y22" s="815">
        <f t="shared" si="14"/>
        <v>1.487087850724214</v>
      </c>
      <c r="Z22" s="775">
        <f t="shared" si="15"/>
        <v>9.5939999999999994</v>
      </c>
      <c r="AA22" s="687" t="e">
        <f t="array" aca="1" ref="AA22" ca="1">_xll.BDP($BD$1,AA$15,"fund per=A","eqy fund year",YEAR($BB22))/$BG$4</f>
        <v>#NAME?</v>
      </c>
      <c r="AB22" s="775" t="str">
        <f t="shared" ca="1" si="16"/>
        <v/>
      </c>
      <c r="AC22" s="714" t="e">
        <f t="array" aca="1" ref="AC22" ca="1">_xll.BDP($BD$1,AC$15,"fund per=A","eqy fund year",YEAR($BB22))</f>
        <v>#NAME?</v>
      </c>
      <c r="AD22" s="180">
        <f t="shared" si="17"/>
        <v>1.1811023622047243</v>
      </c>
      <c r="AE22" s="816">
        <v>0.75</v>
      </c>
      <c r="AF22" s="784">
        <v>11.9533</v>
      </c>
      <c r="AG22" s="817">
        <v>6.2744</v>
      </c>
      <c r="AH22" s="775">
        <v>14.387600000000001</v>
      </c>
      <c r="AI22" s="775" t="str">
        <f t="shared" ca="1" si="18"/>
        <v/>
      </c>
      <c r="AJ22" s="775" t="str">
        <f t="shared" ca="1" si="19"/>
        <v/>
      </c>
      <c r="AK22" s="805" t="str">
        <f t="shared" ca="1" si="20"/>
        <v/>
      </c>
      <c r="AL22" s="812" t="str">
        <f t="shared" ca="1" si="21"/>
        <v/>
      </c>
      <c r="AM22" s="812" t="str">
        <f t="shared" si="22"/>
        <v/>
      </c>
      <c r="AN22" s="805" t="str">
        <f t="shared" ca="1" si="23"/>
        <v/>
      </c>
      <c r="AO22" s="805" t="str">
        <f t="shared" ca="1" si="24"/>
        <v/>
      </c>
      <c r="AP22" s="805" t="str">
        <f t="shared" ca="1" si="25"/>
        <v/>
      </c>
      <c r="AQ22" s="805" t="str">
        <f t="shared" ca="1" si="26"/>
        <v/>
      </c>
      <c r="AR22" s="805" t="str">
        <f t="shared" ca="1" si="27"/>
        <v/>
      </c>
      <c r="AS22" s="784" t="str">
        <f t="shared" ca="1" si="28"/>
        <v/>
      </c>
      <c r="AU22" s="416">
        <v>387.6189</v>
      </c>
      <c r="AV22" s="51">
        <v>0.70489999999999997</v>
      </c>
      <c r="AW22" s="53">
        <v>6.8177599999999998</v>
      </c>
      <c r="AX22" s="818" t="str">
        <f t="shared" ca="1" si="29"/>
        <v/>
      </c>
      <c r="AY22" s="175">
        <v>6.2744</v>
      </c>
      <c r="AZ22" s="46"/>
      <c r="BA22" s="46"/>
      <c r="BB22" s="464">
        <f t="shared" si="30"/>
        <v>42369</v>
      </c>
      <c r="BC22" s="832">
        <v>75.862399999999994</v>
      </c>
      <c r="BD22" s="820">
        <f t="shared" si="31"/>
        <v>77.007599999999996</v>
      </c>
      <c r="BE22" s="8"/>
      <c r="BF22" s="8">
        <f t="shared" si="32"/>
        <v>57.101999999999997</v>
      </c>
      <c r="BG22" s="8">
        <f t="shared" si="33"/>
        <v>57.101999999999997</v>
      </c>
      <c r="BH22" s="821">
        <v>0.49</v>
      </c>
      <c r="BI22" s="821">
        <v>0.46600000000000003</v>
      </c>
      <c r="BJ22" s="821">
        <f t="shared" si="34"/>
        <v>-2.4999999999998579E-2</v>
      </c>
      <c r="BK22" s="3" t="e">
        <f t="shared" ca="1" si="35"/>
        <v>#NAME?</v>
      </c>
      <c r="BL22" s="3" t="e">
        <f t="shared" ca="1" si="36"/>
        <v>#NAME?</v>
      </c>
      <c r="BM22" s="822" t="str">
        <f t="shared" ca="1" si="37"/>
        <v/>
      </c>
      <c r="BN22" s="327" t="e">
        <f t="shared" ca="1" si="38"/>
        <v>#NAME?</v>
      </c>
      <c r="BO22" s="8">
        <f t="shared" si="39"/>
        <v>32.68</v>
      </c>
      <c r="BP22" s="8">
        <f t="shared" si="40"/>
        <v>157.81800000000001</v>
      </c>
      <c r="BQ22" s="8">
        <v>0</v>
      </c>
      <c r="BR22" s="8">
        <f t="shared" si="41"/>
        <v>1.6040000000000418</v>
      </c>
      <c r="BS22" s="368" t="e">
        <f t="shared" ca="1" si="42"/>
        <v>#NAME?</v>
      </c>
      <c r="BT22" s="25"/>
      <c r="BU22" s="25">
        <v>0</v>
      </c>
      <c r="BV22" s="8">
        <f t="shared" si="43"/>
        <v>0</v>
      </c>
      <c r="BW22" s="8">
        <f t="shared" si="44"/>
        <v>72.671999999999997</v>
      </c>
      <c r="BX22" s="8">
        <f t="shared" si="45"/>
        <v>72.671999999999997</v>
      </c>
      <c r="BY22" s="822" t="str">
        <f t="shared" ca="1" si="46"/>
        <v/>
      </c>
      <c r="BZ22" s="327" t="e">
        <f t="shared" ca="1" si="47"/>
        <v>#NAME?</v>
      </c>
      <c r="CA22" s="8">
        <f t="shared" si="48"/>
        <v>-2.4999999999998579E-2</v>
      </c>
      <c r="CB22" s="8">
        <f t="shared" si="49"/>
        <v>48.98</v>
      </c>
      <c r="CC22" s="713">
        <f t="shared" si="50"/>
        <v>-5.1041241322986072E-4</v>
      </c>
      <c r="CD22" s="8">
        <f t="shared" si="51"/>
        <v>72.709092690894238</v>
      </c>
      <c r="CE22" s="822" t="str">
        <f t="shared" ca="1" si="52"/>
        <v/>
      </c>
      <c r="CF22" s="338" t="s">
        <v>739</v>
      </c>
      <c r="CG22" s="2" t="e">
        <f ca="1">IF($CG17="S",IF(RIGHT(CG21)="A",LEFT(CG21,4)&amp;"S1",IF(RIGHT(CG21)="1",LEFT(CG21,4)-1&amp;"S2",LEFT(CG21,4)&amp;"S"&amp;IF(RIGHT(CG21)="2",1,2))),IF(RIGHT(CG21)="A",LEFT(CG21,4)&amp;"Q3",IF(RIGHT(CG21)="1",LEFT(CG21,4)-1&amp;"Q4",LEFT(CG21,4)&amp;"Q"&amp;RIGHT(CG21)-1)))</f>
        <v>#NAME?</v>
      </c>
      <c r="CH22" s="821" t="e">
        <f t="array" aca="1" ref="CH22" ca="1">IF($CG$17="S","",_xll.BDP($BD$1,$CI$15,"eqy fund per",RIGHT(CG22,2),"eqy fund year",LEFT(CG22,4))/$BG$4)</f>
        <v>#NAME?</v>
      </c>
      <c r="CI22" s="8" t="e">
        <f t="array" aca="1" ref="CI22" ca="1">IF($CG$17="Q","",_xll.BDP($BD$1,$CI$15,"eqy fund per",RIGHT(CG22,2),"eqy fund year",LEFT(CG22,4))/$BG$4)</f>
        <v>#NAME?</v>
      </c>
      <c r="CJ22" s="3" t="e">
        <f t="array" aca="1" ref="CJ22" ca="1">IF($CG$17="S","",_xll.BDP($BD$1,$CK$15,"eqy fund per",RIGHT(CG22,2),"eqy fund year",LEFT(CG22,4)))</f>
        <v>#NAME?</v>
      </c>
      <c r="CK22" s="834" t="e">
        <f t="array" aca="1" ref="CK22" ca="1">IF($CG$17="Q","",_xll.BDP($BD$1,$CK$15,"eqy fund per",RIGHT(CG22,2),"eqy fund year",LEFT(CG22,4)))</f>
        <v>#NAME?</v>
      </c>
      <c r="CL22" s="327" t="e">
        <f t="array" aca="1" ref="CL22" ca="1">_xll.BDP($BD$1,CL$15,"fund per=A","eqy fund year",YEAR($BB22))/$BG$4</f>
        <v>#NAME?</v>
      </c>
      <c r="CM22" s="8" t="e">
        <f t="shared" ca="1" si="53"/>
        <v>#NAME?</v>
      </c>
      <c r="CN22" s="8" t="e">
        <f t="array" aca="1" ref="CN22" ca="1">_xll.BDP($BD$1,CN$15,"fund per=A","eqy fund year",YEAR($BB22))/$BG$4</f>
        <v>#NAME?</v>
      </c>
      <c r="CO22" s="8" t="e">
        <f t="shared" ca="1" si="54"/>
        <v>#NAME?</v>
      </c>
      <c r="CP22" s="8" t="e">
        <f t="shared" ca="1" si="55"/>
        <v>#NAME?</v>
      </c>
      <c r="CQ22" s="822" t="str">
        <f t="shared" ca="1" si="56"/>
        <v/>
      </c>
      <c r="CR22" s="380">
        <f t="shared" si="57"/>
        <v>6.2744</v>
      </c>
      <c r="CS22" s="821" t="str">
        <f t="shared" ca="1" si="58"/>
        <v/>
      </c>
      <c r="CT22" s="823" t="e">
        <f t="shared" ca="1" si="59"/>
        <v>#VALUE!</v>
      </c>
      <c r="CU22" s="821" t="str">
        <f t="shared" ref="CU22:CU31" ca="1" si="69">AI57</f>
        <v/>
      </c>
      <c r="CV22" s="822" t="e">
        <f t="shared" ca="1" si="60"/>
        <v>#VALUE!</v>
      </c>
      <c r="CW22" s="820" t="e">
        <f t="array" aca="1" ref="CW22" ca="1">_xll.BDP($BD$1,CW$15,"fund per=A","eqy fund year",YEAR($BB22))/$BG$4</f>
        <v>#NAME?</v>
      </c>
      <c r="CX22" s="821"/>
      <c r="CY22" s="821"/>
      <c r="CZ22" s="821"/>
      <c r="DA22" s="821"/>
      <c r="DB22" s="833" t="str">
        <f t="shared" ca="1" si="61"/>
        <v/>
      </c>
      <c r="DC22" s="820" t="e">
        <f t="array" aca="1" ref="DC22" ca="1">_xll.BDP($BD$1,DC$15,"fund per=A","eqy fund year",YEAR($BB22))/$BG$4</f>
        <v>#NAME?</v>
      </c>
      <c r="DD22" s="8"/>
      <c r="DE22" s="8"/>
      <c r="DF22" s="8">
        <v>54.6</v>
      </c>
      <c r="DG22" s="8">
        <v>54.6</v>
      </c>
      <c r="DH22" s="821" t="str">
        <f t="shared" si="66"/>
        <v/>
      </c>
      <c r="DI22" s="828">
        <f t="shared" ca="1" si="62"/>
        <v>54.6</v>
      </c>
      <c r="DJ22" s="338" t="e">
        <f t="array" aca="1" ref="DJ22" ca="1">_xll.BDP($BD$1,DJ$15,"fund per=A","eqy fund year",YEAR($BB22))/1</f>
        <v>#NAME?</v>
      </c>
      <c r="DK22" s="2"/>
      <c r="DL22" s="2"/>
      <c r="DM22" s="162"/>
      <c r="DN22" s="388" t="str">
        <f t="shared" ca="1" si="63"/>
        <v/>
      </c>
      <c r="DO22" s="820">
        <v>75.726900000000001</v>
      </c>
      <c r="DP22" s="821"/>
      <c r="DQ22" s="821">
        <v>80.067999999999998</v>
      </c>
      <c r="DR22" s="833">
        <f t="shared" si="64"/>
        <v>75.726900000000001</v>
      </c>
      <c r="DS22" s="820">
        <v>-2.5000000000000001E-2</v>
      </c>
      <c r="DT22" s="833">
        <v>0</v>
      </c>
      <c r="DU22" s="820"/>
      <c r="DV22" s="833"/>
      <c r="DX22" t="s">
        <v>740</v>
      </c>
      <c r="DY22" s="2" t="s">
        <v>741</v>
      </c>
      <c r="DZ22" s="695">
        <v>0</v>
      </c>
      <c r="EA22" s="531">
        <f t="shared" si="67"/>
        <v>4.5655840369424192</v>
      </c>
      <c r="EB22" s="531">
        <f t="shared" si="68"/>
        <v>-8.9610150291640913</v>
      </c>
    </row>
    <row r="23" spans="1:132" ht="16" customHeight="1">
      <c r="A23" s="831">
        <v>42735</v>
      </c>
      <c r="B23" s="810">
        <v>375.375</v>
      </c>
      <c r="C23" s="775">
        <v>51.010599999999997</v>
      </c>
      <c r="D23" s="811">
        <v>30.985800000000001</v>
      </c>
      <c r="E23" s="775">
        <v>9.5527999999999995</v>
      </c>
      <c r="F23" s="687">
        <v>89.784000000000006</v>
      </c>
      <c r="G23" s="812">
        <f t="shared" si="2"/>
        <v>23.918481518481521</v>
      </c>
      <c r="H23" s="74">
        <v>75.168000000000006</v>
      </c>
      <c r="I23" s="813">
        <f t="shared" si="65"/>
        <v>20.024775224775226</v>
      </c>
      <c r="J23" s="687">
        <v>0.16900000000000001</v>
      </c>
      <c r="K23" s="687">
        <f t="shared" si="3"/>
        <v>1.4450000000000043</v>
      </c>
      <c r="L23" s="687">
        <v>73.554000000000002</v>
      </c>
      <c r="M23" s="775">
        <f t="shared" si="4"/>
        <v>19.594805194805197</v>
      </c>
      <c r="N23" s="197">
        <f t="shared" si="5"/>
        <v>0.11228485194550943</v>
      </c>
      <c r="O23" s="687">
        <v>65.295000000000002</v>
      </c>
      <c r="P23" s="775">
        <f t="shared" si="6"/>
        <v>17.394605394605396</v>
      </c>
      <c r="Q23" s="805">
        <f t="shared" si="7"/>
        <v>7.2000000000002728E-2</v>
      </c>
      <c r="R23" s="74">
        <v>65.222999999999999</v>
      </c>
      <c r="S23" s="812">
        <f t="shared" si="8"/>
        <v>77.016199999999998</v>
      </c>
      <c r="T23" s="814">
        <f t="shared" si="9"/>
        <v>0.85</v>
      </c>
      <c r="U23" s="74" t="str">
        <f t="shared" ca="1" si="10"/>
        <v/>
      </c>
      <c r="V23" s="775" t="str">
        <f t="shared" ca="1" si="11"/>
        <v/>
      </c>
      <c r="W23" s="687">
        <f t="shared" ca="1" si="12"/>
        <v>76.2</v>
      </c>
      <c r="X23" s="699" t="str">
        <f t="shared" ca="1" si="13"/>
        <v/>
      </c>
      <c r="Y23" s="815">
        <f t="shared" si="14"/>
        <v>1.9306027306027305</v>
      </c>
      <c r="Z23" s="775">
        <f t="shared" si="15"/>
        <v>9.8739999999999988</v>
      </c>
      <c r="AA23" s="687" t="e">
        <f t="array" aca="1" ref="AA23" ca="1">_xll.BDP($BD$1,AA$15,"fund per=A","eqy fund year",YEAR($BB23))/$BG$4</f>
        <v>#NAME?</v>
      </c>
      <c r="AB23" s="775" t="str">
        <f t="shared" ca="1" si="16"/>
        <v/>
      </c>
      <c r="AC23" s="714" t="e">
        <f t="array" aca="1" ref="AC23" ca="1">_xll.BDP($BD$1,AC$15,"fund per=A","eqy fund year",YEAR($BB23))</f>
        <v>#NAME?</v>
      </c>
      <c r="AD23" s="180">
        <f t="shared" si="17"/>
        <v>0.70588235294117652</v>
      </c>
      <c r="AE23" s="816">
        <v>0.6</v>
      </c>
      <c r="AF23" s="784">
        <v>5.35</v>
      </c>
      <c r="AG23" s="817">
        <v>11.2149</v>
      </c>
      <c r="AH23" s="775">
        <v>18.183900000000001</v>
      </c>
      <c r="AI23" s="775" t="str">
        <f t="shared" ca="1" si="18"/>
        <v/>
      </c>
      <c r="AJ23" s="775" t="str">
        <f t="shared" ca="1" si="19"/>
        <v/>
      </c>
      <c r="AK23" s="805" t="str">
        <f t="shared" ca="1" si="20"/>
        <v/>
      </c>
      <c r="AL23" s="812" t="str">
        <f t="shared" ca="1" si="21"/>
        <v/>
      </c>
      <c r="AM23" s="812" t="str">
        <f t="shared" si="22"/>
        <v/>
      </c>
      <c r="AN23" s="805" t="str">
        <f t="shared" ca="1" si="23"/>
        <v/>
      </c>
      <c r="AO23" s="805" t="str">
        <f t="shared" ca="1" si="24"/>
        <v/>
      </c>
      <c r="AP23" s="805" t="str">
        <f t="shared" ca="1" si="25"/>
        <v/>
      </c>
      <c r="AQ23" s="805" t="str">
        <f t="shared" ca="1" si="26"/>
        <v/>
      </c>
      <c r="AR23" s="805" t="str">
        <f t="shared" ca="1" si="27"/>
        <v/>
      </c>
      <c r="AS23" s="784" t="str">
        <f t="shared" ca="1" si="28"/>
        <v/>
      </c>
      <c r="AU23" s="416">
        <v>415.47579999999999</v>
      </c>
      <c r="AV23" s="51">
        <v>0.94079999999999997</v>
      </c>
      <c r="AW23" s="53">
        <v>11.82831</v>
      </c>
      <c r="AX23" s="818" t="str">
        <f t="shared" ca="1" si="29"/>
        <v/>
      </c>
      <c r="AY23" s="175">
        <v>11.2149</v>
      </c>
      <c r="AZ23" s="46"/>
      <c r="BA23" s="46"/>
      <c r="BB23" s="464">
        <f t="shared" si="30"/>
        <v>42735</v>
      </c>
      <c r="BC23" s="832">
        <v>75.201700000000002</v>
      </c>
      <c r="BD23" s="820">
        <f t="shared" si="31"/>
        <v>77.016199999999998</v>
      </c>
      <c r="BE23" s="8"/>
      <c r="BF23" s="8">
        <f t="shared" si="32"/>
        <v>73.554000000000002</v>
      </c>
      <c r="BG23" s="8">
        <f t="shared" si="33"/>
        <v>73.554000000000002</v>
      </c>
      <c r="BH23" s="821">
        <v>0.46300000000000002</v>
      </c>
      <c r="BI23" s="821">
        <v>0.63200000000000001</v>
      </c>
      <c r="BJ23" s="821">
        <f t="shared" si="34"/>
        <v>7.2000000000002728E-2</v>
      </c>
      <c r="BK23" s="3" t="e">
        <f t="shared" ca="1" si="35"/>
        <v>#NAME?</v>
      </c>
      <c r="BL23" s="3" t="e">
        <f t="shared" ca="1" si="36"/>
        <v>#NAME?</v>
      </c>
      <c r="BM23" s="822" t="str">
        <f t="shared" ca="1" si="37"/>
        <v/>
      </c>
      <c r="BN23" s="327" t="e">
        <f t="shared" ca="1" si="38"/>
        <v>#NAME?</v>
      </c>
      <c r="BO23" s="8">
        <f t="shared" si="39"/>
        <v>151.255</v>
      </c>
      <c r="BP23" s="8">
        <f t="shared" si="40"/>
        <v>304.78999999999996</v>
      </c>
      <c r="BQ23" s="8">
        <v>0</v>
      </c>
      <c r="BR23" s="8">
        <f t="shared" si="41"/>
        <v>1.6259999999999764</v>
      </c>
      <c r="BS23" s="368" t="e">
        <f t="shared" ca="1" si="42"/>
        <v>#NAME?</v>
      </c>
      <c r="BT23" s="25"/>
      <c r="BU23" s="25">
        <v>0</v>
      </c>
      <c r="BV23" s="8">
        <f t="shared" si="43"/>
        <v>0</v>
      </c>
      <c r="BW23" s="8">
        <f t="shared" si="44"/>
        <v>89.784000000000006</v>
      </c>
      <c r="BX23" s="8">
        <f t="shared" si="45"/>
        <v>89.784000000000006</v>
      </c>
      <c r="BY23" s="822" t="str">
        <f t="shared" ca="1" si="46"/>
        <v/>
      </c>
      <c r="BZ23" s="327" t="e">
        <f t="shared" ca="1" si="47"/>
        <v>#NAME?</v>
      </c>
      <c r="CA23" s="8">
        <f t="shared" si="48"/>
        <v>7.2000000000002728E-2</v>
      </c>
      <c r="CB23" s="8">
        <f t="shared" si="49"/>
        <v>65.222999999999999</v>
      </c>
      <c r="CC23" s="713">
        <f t="shared" si="50"/>
        <v>1.1039050641645236E-3</v>
      </c>
      <c r="CD23" s="8">
        <f t="shared" si="51"/>
        <v>89.684886987719054</v>
      </c>
      <c r="CE23" s="822" t="str">
        <f t="shared" ca="1" si="52"/>
        <v/>
      </c>
      <c r="CF23" s="338" t="s">
        <v>742</v>
      </c>
      <c r="CG23" s="2" t="e">
        <f ca="1">IF($CG17="S",IF(RIGHT(CG22)="A",LEFT(CG22,4)&amp;"S1",IF(RIGHT(CG22)="1",LEFT(CG22,4)-1&amp;"S2",LEFT(CG22,4)&amp;"S"&amp;IF(RIGHT(CG22)="2",1,2))),IF(RIGHT(CG22)="A",LEFT(CG22,4)&amp;"Q3",IF(RIGHT(CG22)="1",LEFT(CG22,4)-1&amp;"Q4",LEFT(CG22,4)&amp;"Q"&amp;RIGHT(CG22)-1)))</f>
        <v>#NAME?</v>
      </c>
      <c r="CH23" s="821" t="e">
        <f t="array" aca="1" ref="CH23" ca="1">IF($CG$17="S","",_xll.BDP($BD$1,$CI$15,"eqy fund per",RIGHT(CG23,2),"eqy fund year",LEFT(CG23,4))/$BG$4)</f>
        <v>#NAME?</v>
      </c>
      <c r="CI23" s="8" t="e">
        <f t="array" aca="1" ref="CI23" ca="1">IF($CG$17="Q","",_xll.BDP($BD$1,$CI$15,"eqy fund per",RIGHT(CG23,2),"eqy fund year",LEFT(CG23,4))/$BG$4)</f>
        <v>#NAME?</v>
      </c>
      <c r="CJ23" s="3" t="e">
        <f t="array" aca="1" ref="CJ23" ca="1">IF($CG$17="S","",_xll.BDP($BD$1,$CK$15,"eqy fund per",RIGHT(CG23,2),"eqy fund year",LEFT(CG23,4)))</f>
        <v>#NAME?</v>
      </c>
      <c r="CK23" s="834" t="e">
        <f t="array" aca="1" ref="CK23" ca="1">IF($CG$17="Q","",_xll.BDP($BD$1,$CK$15,"eqy fund per",RIGHT(CG23,2),"eqy fund year",LEFT(CG23,4)))</f>
        <v>#NAME?</v>
      </c>
      <c r="CL23" s="327" t="e">
        <f t="array" aca="1" ref="CL23" ca="1">_xll.BDP($BD$1,CL$15,"fund per=A","eqy fund year",YEAR($BB23))/$BG$4</f>
        <v>#NAME?</v>
      </c>
      <c r="CM23" s="8" t="e">
        <f t="shared" ca="1" si="53"/>
        <v>#NAME?</v>
      </c>
      <c r="CN23" s="8" t="e">
        <f t="array" aca="1" ref="CN23" ca="1">_xll.BDP($BD$1,CN$15,"fund per=A","eqy fund year",YEAR($BB23))/$BG$4</f>
        <v>#NAME?</v>
      </c>
      <c r="CO23" s="8" t="e">
        <f t="shared" ca="1" si="54"/>
        <v>#NAME?</v>
      </c>
      <c r="CP23" s="8" t="e">
        <f t="shared" ca="1" si="55"/>
        <v>#NAME?</v>
      </c>
      <c r="CQ23" s="822" t="str">
        <f t="shared" ca="1" si="56"/>
        <v/>
      </c>
      <c r="CR23" s="380">
        <f t="shared" si="57"/>
        <v>11.2149</v>
      </c>
      <c r="CS23" s="821" t="str">
        <f t="shared" ca="1" si="58"/>
        <v/>
      </c>
      <c r="CT23" s="823" t="e">
        <f t="shared" ca="1" si="59"/>
        <v>#VALUE!</v>
      </c>
      <c r="CU23" s="821" t="str">
        <f t="shared" ca="1" si="69"/>
        <v/>
      </c>
      <c r="CV23" s="822" t="e">
        <f t="shared" ca="1" si="60"/>
        <v>#VALUE!</v>
      </c>
      <c r="CW23" s="820" t="e">
        <f t="array" aca="1" ref="CW23" ca="1">_xll.BDP($BD$1,CW$15,"fund per=A","eqy fund year",YEAR($BB23))/$BG$4</f>
        <v>#NAME?</v>
      </c>
      <c r="CX23" s="821"/>
      <c r="CY23" s="821"/>
      <c r="CZ23" s="821"/>
      <c r="DA23" s="821"/>
      <c r="DB23" s="833" t="str">
        <f t="shared" ca="1" si="61"/>
        <v/>
      </c>
      <c r="DC23" s="820" t="e">
        <f t="array" aca="1" ref="DC23" ca="1">_xll.BDP($BD$1,DC$15,"fund per=A","eqy fund year",YEAR($BB23))/$BG$4</f>
        <v>#NAME?</v>
      </c>
      <c r="DD23" s="8"/>
      <c r="DE23" s="8"/>
      <c r="DF23" s="8">
        <v>76.2</v>
      </c>
      <c r="DG23" s="8">
        <v>76.2</v>
      </c>
      <c r="DH23" s="821" t="str">
        <f t="shared" si="66"/>
        <v/>
      </c>
      <c r="DI23" s="828">
        <f t="shared" ca="1" si="62"/>
        <v>76.2</v>
      </c>
      <c r="DJ23" s="338" t="e">
        <f t="array" aca="1" ref="DJ23" ca="1">_xll.BDP($BD$1,DJ$15,"fund per=A","eqy fund year",YEAR($BB23))/1</f>
        <v>#NAME?</v>
      </c>
      <c r="DK23" s="2"/>
      <c r="DL23" s="2"/>
      <c r="DM23" s="162"/>
      <c r="DN23" s="388" t="str">
        <f t="shared" ca="1" si="63"/>
        <v/>
      </c>
      <c r="DO23" s="820">
        <v>74.652600000000007</v>
      </c>
      <c r="DP23" s="821"/>
      <c r="DQ23" s="821">
        <v>80.067999999999998</v>
      </c>
      <c r="DR23" s="833">
        <f t="shared" si="64"/>
        <v>74.652600000000007</v>
      </c>
      <c r="DS23" s="820">
        <v>7.1999999999999995E-2</v>
      </c>
      <c r="DT23" s="833">
        <v>0</v>
      </c>
      <c r="DU23" s="820"/>
      <c r="DV23" s="833"/>
      <c r="DX23" t="s">
        <v>743</v>
      </c>
      <c r="DY23" s="2" t="s">
        <v>744</v>
      </c>
      <c r="DZ23" s="695">
        <v>0.15</v>
      </c>
      <c r="EA23" s="531">
        <f t="shared" si="67"/>
        <v>4.8742467073270497</v>
      </c>
      <c r="EB23" s="531">
        <f t="shared" si="68"/>
        <v>6.7606393374229174</v>
      </c>
    </row>
    <row r="24" spans="1:132" ht="16" customHeight="1">
      <c r="A24" s="831">
        <v>43100</v>
      </c>
      <c r="B24" s="810">
        <v>592.78499999999997</v>
      </c>
      <c r="C24" s="775">
        <v>57.124400000000001</v>
      </c>
      <c r="D24" s="811">
        <v>21.7941</v>
      </c>
      <c r="E24" s="775">
        <v>12.0914</v>
      </c>
      <c r="F24" s="687">
        <v>222.797</v>
      </c>
      <c r="G24" s="812">
        <f t="shared" si="2"/>
        <v>37.584790438354545</v>
      </c>
      <c r="H24" s="74">
        <v>209.43299999999999</v>
      </c>
      <c r="I24" s="813">
        <f t="shared" si="65"/>
        <v>35.330347427819532</v>
      </c>
      <c r="J24" s="687">
        <v>4.9340000000000002</v>
      </c>
      <c r="K24" s="687">
        <f t="shared" si="3"/>
        <v>5.2879999999999798</v>
      </c>
      <c r="L24" s="687">
        <v>199.21100000000001</v>
      </c>
      <c r="M24" s="775">
        <f t="shared" si="4"/>
        <v>33.605944819791326</v>
      </c>
      <c r="N24" s="197">
        <f t="shared" si="5"/>
        <v>0.13079599018126509</v>
      </c>
      <c r="O24" s="687">
        <v>173.155</v>
      </c>
      <c r="P24" s="775">
        <f t="shared" si="6"/>
        <v>29.210421991109765</v>
      </c>
      <c r="Q24" s="805">
        <f t="shared" si="7"/>
        <v>0.16399999999998727</v>
      </c>
      <c r="R24" s="74">
        <v>172.99100000000001</v>
      </c>
      <c r="S24" s="812">
        <f t="shared" si="8"/>
        <v>81.645700000000005</v>
      </c>
      <c r="T24" s="814">
        <f t="shared" si="9"/>
        <v>2.17</v>
      </c>
      <c r="U24" s="74" t="str">
        <f t="shared" ca="1" si="10"/>
        <v/>
      </c>
      <c r="V24" s="775" t="str">
        <f t="shared" ca="1" si="11"/>
        <v/>
      </c>
      <c r="W24" s="687">
        <f t="shared" ca="1" si="12"/>
        <v>209.4</v>
      </c>
      <c r="X24" s="699" t="str">
        <f t="shared" ca="1" si="13"/>
        <v/>
      </c>
      <c r="Y24" s="815">
        <f t="shared" si="14"/>
        <v>1.1577553413126176</v>
      </c>
      <c r="Z24" s="775">
        <f t="shared" si="15"/>
        <v>8.5140000000000011</v>
      </c>
      <c r="AA24" s="687" t="e">
        <f t="array" aca="1" ref="AA24" ca="1">_xll.BDP($BD$1,AA$15,"fund per=A","eqy fund year",YEAR($BB24))/$BG$4</f>
        <v>#NAME?</v>
      </c>
      <c r="AB24" s="775" t="str">
        <f t="shared" ca="1" si="16"/>
        <v/>
      </c>
      <c r="AC24" s="714" t="e">
        <f t="array" aca="1" ref="AC24" ca="1">_xll.BDP($BD$1,AC$15,"fund per=A","eqy fund year",YEAR($BB24))</f>
        <v>#NAME?</v>
      </c>
      <c r="AD24" s="180">
        <f t="shared" si="17"/>
        <v>0.4009216589861751</v>
      </c>
      <c r="AE24" s="816">
        <v>0.87</v>
      </c>
      <c r="AF24" s="784">
        <v>3.3860999999999999</v>
      </c>
      <c r="AG24" s="817">
        <v>25.6934</v>
      </c>
      <c r="AH24" s="775">
        <v>15.066800000000001</v>
      </c>
      <c r="AI24" s="775" t="str">
        <f t="shared" ca="1" si="18"/>
        <v/>
      </c>
      <c r="AJ24" s="775" t="str">
        <f t="shared" ca="1" si="19"/>
        <v/>
      </c>
      <c r="AK24" s="805" t="str">
        <f t="shared" ca="1" si="20"/>
        <v/>
      </c>
      <c r="AL24" s="812" t="str">
        <f t="shared" ca="1" si="21"/>
        <v/>
      </c>
      <c r="AM24" s="812" t="str">
        <f t="shared" si="22"/>
        <v/>
      </c>
      <c r="AN24" s="805" t="str">
        <f t="shared" ca="1" si="23"/>
        <v/>
      </c>
      <c r="AO24" s="805" t="str">
        <f t="shared" ca="1" si="24"/>
        <v/>
      </c>
      <c r="AP24" s="805" t="str">
        <f t="shared" ca="1" si="25"/>
        <v/>
      </c>
      <c r="AQ24" s="805" t="str">
        <f t="shared" ca="1" si="26"/>
        <v/>
      </c>
      <c r="AR24" s="805" t="str">
        <f t="shared" ca="1" si="27"/>
        <v/>
      </c>
      <c r="AS24" s="784" t="str">
        <f t="shared" ca="1" si="28"/>
        <v/>
      </c>
      <c r="AU24" s="416">
        <v>669.68179999999995</v>
      </c>
      <c r="AV24" s="51">
        <v>2.4514999999999998</v>
      </c>
      <c r="AW24" s="53">
        <v>30.8886</v>
      </c>
      <c r="AX24" s="818" t="str">
        <f t="shared" ca="1" si="29"/>
        <v/>
      </c>
      <c r="AY24" s="175">
        <v>25.6934</v>
      </c>
      <c r="AZ24" s="46"/>
      <c r="BA24" s="46"/>
      <c r="BB24" s="464">
        <f t="shared" si="30"/>
        <v>43100</v>
      </c>
      <c r="BC24" s="832">
        <v>74.673599999999993</v>
      </c>
      <c r="BD24" s="820">
        <f t="shared" si="31"/>
        <v>81.645700000000005</v>
      </c>
      <c r="BE24" s="8"/>
      <c r="BF24" s="8">
        <f t="shared" si="32"/>
        <v>199.21100000000001</v>
      </c>
      <c r="BG24" s="8">
        <f t="shared" si="33"/>
        <v>199.21100000000001</v>
      </c>
      <c r="BH24" s="821">
        <v>0.64100000000000001</v>
      </c>
      <c r="BI24" s="821">
        <v>5.5750000000000002</v>
      </c>
      <c r="BJ24" s="821">
        <f t="shared" si="34"/>
        <v>0.16399999999998727</v>
      </c>
      <c r="BK24" s="3" t="e">
        <f t="shared" ca="1" si="35"/>
        <v>#NAME?</v>
      </c>
      <c r="BL24" s="3" t="e">
        <f t="shared" ca="1" si="36"/>
        <v>#NAME?</v>
      </c>
      <c r="BM24" s="822" t="str">
        <f t="shared" ca="1" si="37"/>
        <v/>
      </c>
      <c r="BN24" s="327" t="e">
        <f t="shared" ca="1" si="38"/>
        <v>#NAME?</v>
      </c>
      <c r="BO24" s="8">
        <f t="shared" si="39"/>
        <v>295.66700000000003</v>
      </c>
      <c r="BP24" s="8">
        <f t="shared" si="40"/>
        <v>527.80600000000004</v>
      </c>
      <c r="BQ24" s="8">
        <v>0</v>
      </c>
      <c r="BR24" s="8">
        <f t="shared" si="41"/>
        <v>0</v>
      </c>
      <c r="BS24" s="368" t="e">
        <f t="shared" ca="1" si="42"/>
        <v>#NAME?</v>
      </c>
      <c r="BT24" s="25"/>
      <c r="BU24" s="25">
        <v>0</v>
      </c>
      <c r="BV24" s="8">
        <f t="shared" si="43"/>
        <v>0</v>
      </c>
      <c r="BW24" s="8">
        <f t="shared" si="44"/>
        <v>222.797</v>
      </c>
      <c r="BX24" s="8">
        <f t="shared" si="45"/>
        <v>222.797</v>
      </c>
      <c r="BY24" s="822" t="str">
        <f t="shared" ca="1" si="46"/>
        <v/>
      </c>
      <c r="BZ24" s="327" t="e">
        <f t="shared" ca="1" si="47"/>
        <v>#NAME?</v>
      </c>
      <c r="CA24" s="8">
        <f t="shared" si="48"/>
        <v>0.16399999999998727</v>
      </c>
      <c r="CB24" s="8">
        <f t="shared" si="49"/>
        <v>172.99100000000001</v>
      </c>
      <c r="CC24" s="713">
        <f t="shared" si="50"/>
        <v>9.4802619789461447E-4</v>
      </c>
      <c r="CD24" s="8">
        <f t="shared" si="51"/>
        <v>222.58578260718767</v>
      </c>
      <c r="CE24" s="822" t="str">
        <f t="shared" ca="1" si="52"/>
        <v/>
      </c>
      <c r="CF24" s="338" t="s">
        <v>745</v>
      </c>
      <c r="CG24" s="2" t="e">
        <f ca="1">IF($CG17="S",IF(RIGHT(CG23)="A",LEFT(CG23,4)&amp;"S1",IF(RIGHT(CG23)="1",LEFT(CG23,4)-1&amp;"S2",LEFT(CG23,4)&amp;"S"&amp;IF(RIGHT(CG23)="2",1,2))),IF(RIGHT(CG23)="A",LEFT(CG23,4)&amp;"Q3",IF(RIGHT(CG23)="1",LEFT(CG23,4)-1&amp;"Q4",LEFT(CG23,4)&amp;"Q"&amp;RIGHT(CG23)-1)))</f>
        <v>#NAME?</v>
      </c>
      <c r="CH24" s="821" t="e">
        <f t="array" aca="1" ref="CH24" ca="1">IF($CG$17="S","",_xll.BDP($BD$1,$CI$15,"eqy fund per",RIGHT(CG24,2),"eqy fund year",LEFT(CG24,4))/$BG$4)</f>
        <v>#NAME?</v>
      </c>
      <c r="CI24" s="8"/>
      <c r="CJ24" s="3" t="e">
        <f t="array" aca="1" ref="CJ24" ca="1">IF($CG$17="S","",_xll.BDP($BD$1,$CK$15,"eqy fund per",RIGHT(CG24,2),"eqy fund year",LEFT(CG24,4)))</f>
        <v>#NAME?</v>
      </c>
      <c r="CK24" s="765"/>
      <c r="CL24" s="327" t="e">
        <f t="array" aca="1" ref="CL24" ca="1">_xll.BDP($BD$1,CL$15,"fund per=A","eqy fund year",YEAR($BB24))/$BG$4</f>
        <v>#NAME?</v>
      </c>
      <c r="CM24" s="8" t="e">
        <f t="shared" ca="1" si="53"/>
        <v>#NAME?</v>
      </c>
      <c r="CN24" s="8" t="e">
        <f t="array" aca="1" ref="CN24" ca="1">_xll.BDP($BD$1,CN$15,"fund per=A","eqy fund year",YEAR($BB24))/$BG$4</f>
        <v>#NAME?</v>
      </c>
      <c r="CO24" s="8" t="e">
        <f t="shared" ca="1" si="54"/>
        <v>#NAME?</v>
      </c>
      <c r="CP24" s="8" t="e">
        <f t="shared" ca="1" si="55"/>
        <v>#NAME?</v>
      </c>
      <c r="CQ24" s="822" t="str">
        <f t="shared" ca="1" si="56"/>
        <v/>
      </c>
      <c r="CR24" s="380">
        <f t="shared" si="57"/>
        <v>25.6934</v>
      </c>
      <c r="CS24" s="821" t="str">
        <f t="shared" ca="1" si="58"/>
        <v/>
      </c>
      <c r="CT24" s="823" t="e">
        <f t="shared" ca="1" si="59"/>
        <v>#VALUE!</v>
      </c>
      <c r="CU24" s="821" t="str">
        <f t="shared" ca="1" si="69"/>
        <v/>
      </c>
      <c r="CV24" s="822" t="e">
        <f t="shared" ca="1" si="60"/>
        <v>#VALUE!</v>
      </c>
      <c r="CW24" s="820" t="e">
        <f t="array" aca="1" ref="CW24" ca="1">_xll.BDP($BD$1,CW$15,"fund per=A","eqy fund year",YEAR($BB24))/$BG$4</f>
        <v>#NAME?</v>
      </c>
      <c r="CX24" s="821"/>
      <c r="CY24" s="821"/>
      <c r="CZ24" s="821"/>
      <c r="DA24" s="821"/>
      <c r="DB24" s="833" t="str">
        <f t="shared" ca="1" si="61"/>
        <v/>
      </c>
      <c r="DC24" s="820" t="e">
        <f t="array" aca="1" ref="DC24" ca="1">_xll.BDP($BD$1,DC$15,"fund per=A","eqy fund year",YEAR($BB24))/$BG$4</f>
        <v>#NAME?</v>
      </c>
      <c r="DD24" s="8"/>
      <c r="DE24" s="8"/>
      <c r="DF24" s="8">
        <v>209.4</v>
      </c>
      <c r="DG24" s="8">
        <v>209.4</v>
      </c>
      <c r="DH24" s="821" t="str">
        <f t="shared" si="66"/>
        <v/>
      </c>
      <c r="DI24" s="828">
        <f t="shared" ca="1" si="62"/>
        <v>209.4</v>
      </c>
      <c r="DJ24" s="338" t="e">
        <f t="array" aca="1" ref="DJ24" ca="1">_xll.BDP($BD$1,DJ$15,"fund per=A","eqy fund year",YEAR($BB24))/1</f>
        <v>#NAME?</v>
      </c>
      <c r="DK24" s="2"/>
      <c r="DL24" s="2"/>
      <c r="DM24" s="162"/>
      <c r="DN24" s="388" t="str">
        <f t="shared" ca="1" si="63"/>
        <v/>
      </c>
      <c r="DO24" s="820">
        <v>74.551100000000005</v>
      </c>
      <c r="DP24" s="821"/>
      <c r="DQ24" s="821">
        <v>80.067999999999998</v>
      </c>
      <c r="DR24" s="833">
        <f t="shared" si="64"/>
        <v>74.551100000000005</v>
      </c>
      <c r="DS24" s="820">
        <v>0.16400000000000001</v>
      </c>
      <c r="DT24" s="833">
        <v>0</v>
      </c>
      <c r="DU24" s="820"/>
      <c r="DV24" s="833"/>
      <c r="DX24" t="s">
        <v>746</v>
      </c>
      <c r="DY24" s="2" t="s">
        <v>747</v>
      </c>
      <c r="DZ24" s="695">
        <v>0.25</v>
      </c>
      <c r="EA24" s="531">
        <f t="shared" si="67"/>
        <v>7.4723043150245898</v>
      </c>
      <c r="EB24" s="531">
        <f t="shared" si="68"/>
        <v>53.301725655209374</v>
      </c>
    </row>
    <row r="25" spans="1:132" ht="16" customHeight="1">
      <c r="A25" s="831">
        <v>43465</v>
      </c>
      <c r="B25" s="810">
        <v>525.25599999999997</v>
      </c>
      <c r="C25" s="775">
        <v>56.822400000000002</v>
      </c>
      <c r="D25" s="811">
        <v>23.937899999999999</v>
      </c>
      <c r="E25" s="775">
        <v>8.9197000000000006</v>
      </c>
      <c r="F25" s="687">
        <v>187.73599999999999</v>
      </c>
      <c r="G25" s="812">
        <f t="shared" si="2"/>
        <v>35.741809708028086</v>
      </c>
      <c r="H25" s="74">
        <v>172.72800000000001</v>
      </c>
      <c r="I25" s="813">
        <f t="shared" si="65"/>
        <v>32.884536302298315</v>
      </c>
      <c r="J25" s="687">
        <v>7.9459999999999997</v>
      </c>
      <c r="K25" s="687">
        <f t="shared" si="3"/>
        <v>9.8380000000000205</v>
      </c>
      <c r="L25" s="687">
        <v>154.94399999999999</v>
      </c>
      <c r="M25" s="775">
        <f t="shared" si="4"/>
        <v>29.498758700519367</v>
      </c>
      <c r="N25" s="197">
        <f t="shared" si="5"/>
        <v>0.12061131763733994</v>
      </c>
      <c r="O25" s="687">
        <v>136.256</v>
      </c>
      <c r="P25" s="775">
        <f t="shared" si="6"/>
        <v>25.940874544983782</v>
      </c>
      <c r="Q25" s="805">
        <f t="shared" si="7"/>
        <v>0</v>
      </c>
      <c r="R25" s="74">
        <v>136.256</v>
      </c>
      <c r="S25" s="812">
        <f t="shared" si="8"/>
        <v>84.754099999999994</v>
      </c>
      <c r="T25" s="814">
        <f t="shared" si="9"/>
        <v>1.68</v>
      </c>
      <c r="U25" s="74" t="str">
        <f t="shared" ca="1" si="10"/>
        <v/>
      </c>
      <c r="V25" s="775" t="str">
        <f t="shared" ca="1" si="11"/>
        <v/>
      </c>
      <c r="W25" s="687">
        <f t="shared" ca="1" si="12"/>
        <v>174.1</v>
      </c>
      <c r="X25" s="699" t="str">
        <f t="shared" ca="1" si="13"/>
        <v/>
      </c>
      <c r="Y25" s="815">
        <f t="shared" si="14"/>
        <v>1.9021201090515865</v>
      </c>
      <c r="Z25" s="775">
        <f t="shared" si="15"/>
        <v>9.5469999999999988</v>
      </c>
      <c r="AA25" s="687" t="e">
        <f t="array" aca="1" ref="AA25" ca="1">_xll.BDP($BD$1,AA$15,"fund per=A","eqy fund year",YEAR($BB25))/$BG$4</f>
        <v>#NAME?</v>
      </c>
      <c r="AB25" s="775" t="str">
        <f t="shared" ca="1" si="16"/>
        <v/>
      </c>
      <c r="AC25" s="714" t="e">
        <f t="array" aca="1" ref="AC25" ca="1">_xll.BDP($BD$1,AC$15,"fund per=A","eqy fund year",YEAR($BB25))</f>
        <v>#NAME?</v>
      </c>
      <c r="AD25" s="180">
        <f t="shared" si="17"/>
        <v>1.3809523809523809</v>
      </c>
      <c r="AE25" s="816">
        <v>2.3199999999999998</v>
      </c>
      <c r="AF25" s="784">
        <v>15.7936</v>
      </c>
      <c r="AG25" s="817">
        <v>14.689500000000001</v>
      </c>
      <c r="AH25" s="775">
        <v>10.097300000000001</v>
      </c>
      <c r="AI25" s="775" t="str">
        <f t="shared" ca="1" si="18"/>
        <v/>
      </c>
      <c r="AJ25" s="775" t="str">
        <f t="shared" ca="1" si="19"/>
        <v/>
      </c>
      <c r="AK25" s="805" t="str">
        <f t="shared" ca="1" si="20"/>
        <v/>
      </c>
      <c r="AL25" s="812" t="str">
        <f t="shared" ca="1" si="21"/>
        <v/>
      </c>
      <c r="AM25" s="812" t="str">
        <f t="shared" si="22"/>
        <v/>
      </c>
      <c r="AN25" s="805" t="str">
        <f t="shared" ca="1" si="23"/>
        <v/>
      </c>
      <c r="AO25" s="805" t="str">
        <f t="shared" ca="1" si="24"/>
        <v/>
      </c>
      <c r="AP25" s="805" t="str">
        <f t="shared" ca="1" si="25"/>
        <v/>
      </c>
      <c r="AQ25" s="805" t="str">
        <f t="shared" ca="1" si="26"/>
        <v/>
      </c>
      <c r="AR25" s="805" t="str">
        <f t="shared" ca="1" si="27"/>
        <v/>
      </c>
      <c r="AS25" s="784" t="str">
        <f t="shared" ca="1" si="28"/>
        <v/>
      </c>
      <c r="AU25" s="416">
        <v>620.39260000000002</v>
      </c>
      <c r="AV25" s="51">
        <v>1.9843</v>
      </c>
      <c r="AW25" s="53">
        <v>16.822410000000001</v>
      </c>
      <c r="AX25" s="818" t="str">
        <f t="shared" ca="1" si="29"/>
        <v/>
      </c>
      <c r="AY25" s="175">
        <v>14.689500000000001</v>
      </c>
      <c r="AZ25" s="46"/>
      <c r="BA25" s="46"/>
      <c r="BB25" s="464">
        <f t="shared" si="30"/>
        <v>43465</v>
      </c>
      <c r="BC25" s="832">
        <v>74.440899999999999</v>
      </c>
      <c r="BD25" s="820">
        <f t="shared" si="31"/>
        <v>84.754099999999994</v>
      </c>
      <c r="BE25" s="8"/>
      <c r="BF25" s="8">
        <f t="shared" si="32"/>
        <v>154.94399999999999</v>
      </c>
      <c r="BG25" s="8">
        <f t="shared" si="33"/>
        <v>154.94399999999999</v>
      </c>
      <c r="BH25" s="821">
        <v>1.8240000000000001</v>
      </c>
      <c r="BI25" s="821">
        <v>9.77</v>
      </c>
      <c r="BJ25" s="821">
        <f t="shared" si="34"/>
        <v>0</v>
      </c>
      <c r="BK25" s="3" t="e">
        <f t="shared" ca="1" si="35"/>
        <v>#NAME?</v>
      </c>
      <c r="BL25" s="3" t="e">
        <f t="shared" ca="1" si="36"/>
        <v>#NAME?</v>
      </c>
      <c r="BM25" s="822" t="str">
        <f t="shared" ca="1" si="37"/>
        <v/>
      </c>
      <c r="BN25" s="327" t="e">
        <f t="shared" ca="1" si="38"/>
        <v>#NAME?</v>
      </c>
      <c r="BO25" s="8">
        <f t="shared" si="39"/>
        <v>290.77100000000002</v>
      </c>
      <c r="BP25" s="8">
        <f t="shared" si="40"/>
        <v>425.53899999999999</v>
      </c>
      <c r="BQ25" s="8">
        <v>0</v>
      </c>
      <c r="BR25" s="8">
        <f t="shared" si="41"/>
        <v>0</v>
      </c>
      <c r="BS25" s="368" t="e">
        <f t="shared" ca="1" si="42"/>
        <v>#NAME?</v>
      </c>
      <c r="BT25" s="25"/>
      <c r="BU25" s="25"/>
      <c r="BV25" s="8">
        <f t="shared" si="43"/>
        <v>0</v>
      </c>
      <c r="BW25" s="8">
        <f t="shared" si="44"/>
        <v>187.73599999999999</v>
      </c>
      <c r="BX25" s="8">
        <f t="shared" si="45"/>
        <v>187.73599999999999</v>
      </c>
      <c r="BY25" s="822" t="str">
        <f t="shared" ca="1" si="46"/>
        <v/>
      </c>
      <c r="BZ25" s="327" t="e">
        <f t="shared" ca="1" si="47"/>
        <v>#NAME?</v>
      </c>
      <c r="CA25" s="8">
        <f t="shared" si="48"/>
        <v>0</v>
      </c>
      <c r="CB25" s="8">
        <f t="shared" si="49"/>
        <v>136.256</v>
      </c>
      <c r="CC25" s="713">
        <f t="shared" si="50"/>
        <v>0</v>
      </c>
      <c r="CD25" s="8">
        <f t="shared" si="51"/>
        <v>187.73599999999999</v>
      </c>
      <c r="CE25" s="822" t="str">
        <f t="shared" ca="1" si="52"/>
        <v/>
      </c>
      <c r="CF25" s="338" t="s">
        <v>748</v>
      </c>
      <c r="CG25" s="2" t="e">
        <f ca="1">IF($CG17="S",IF(RIGHT(CG24)="A",LEFT(CG24,4)&amp;"S1",IF(RIGHT(CG24)="1",LEFT(CG24,4)-1&amp;"S2",LEFT(CG24,4)&amp;"S"&amp;IF(RIGHT(CG24)="2",1,2))),IF(RIGHT(CG24)="A",LEFT(CG24,4)&amp;"Q3",IF(RIGHT(CG24)="1",LEFT(CG24,4)-1&amp;"Q4",LEFT(CG24,4)&amp;"Q"&amp;RIGHT(CG24)-1)))</f>
        <v>#NAME?</v>
      </c>
      <c r="CH25" s="821" t="e">
        <f t="array" aca="1" ref="CH25" ca="1">IF($CG$17="S","",_xll.BDP($BD$1,$CI$15,"eqy fund per",RIGHT(CG25,2),"eqy fund year",LEFT(CG25,4))/$BG$4)</f>
        <v>#NAME?</v>
      </c>
      <c r="CI25" s="8"/>
      <c r="CJ25" s="3" t="e">
        <f t="array" aca="1" ref="CJ25" ca="1">IF($CG$17="S","",_xll.BDP($BD$1,$CK$15,"eqy fund per",RIGHT(CG25,2),"eqy fund year",LEFT(CG25,4)))</f>
        <v>#NAME?</v>
      </c>
      <c r="CK25" s="765"/>
      <c r="CL25" s="327" t="e">
        <f t="array" aca="1" ref="CL25" ca="1">_xll.BDP($BD$1,CL$15,"fund per=A","eqy fund year",YEAR($BB25))/$BG$4</f>
        <v>#NAME?</v>
      </c>
      <c r="CM25" s="8" t="e">
        <f t="shared" ca="1" si="53"/>
        <v>#NAME?</v>
      </c>
      <c r="CN25" s="8" t="e">
        <f t="array" aca="1" ref="CN25" ca="1">_xll.BDP($BD$1,CN$15,"fund per=A","eqy fund year",YEAR($BB25))/$BG$4</f>
        <v>#NAME?</v>
      </c>
      <c r="CO25" s="8" t="e">
        <f t="shared" ca="1" si="54"/>
        <v>#NAME?</v>
      </c>
      <c r="CP25" s="8" t="e">
        <f t="shared" ca="1" si="55"/>
        <v>#NAME?</v>
      </c>
      <c r="CQ25" s="822" t="str">
        <f t="shared" ca="1" si="56"/>
        <v/>
      </c>
      <c r="CR25" s="380">
        <f t="shared" si="57"/>
        <v>14.689500000000001</v>
      </c>
      <c r="CS25" s="821" t="str">
        <f t="shared" ca="1" si="58"/>
        <v/>
      </c>
      <c r="CT25" s="823" t="e">
        <f t="shared" ca="1" si="59"/>
        <v>#VALUE!</v>
      </c>
      <c r="CU25" s="821" t="str">
        <f t="shared" ca="1" si="69"/>
        <v/>
      </c>
      <c r="CV25" s="822" t="e">
        <f t="shared" ca="1" si="60"/>
        <v>#VALUE!</v>
      </c>
      <c r="CW25" s="820" t="e">
        <f t="array" aca="1" ref="CW25" ca="1">_xll.BDP($BD$1,CW$15,"fund per=A","eqy fund year",YEAR($BB25))/$BG$4</f>
        <v>#NAME?</v>
      </c>
      <c r="CX25" s="821"/>
      <c r="CY25" s="821"/>
      <c r="CZ25" s="821"/>
      <c r="DA25" s="821"/>
      <c r="DB25" s="833" t="str">
        <f t="shared" ca="1" si="61"/>
        <v/>
      </c>
      <c r="DC25" s="820" t="e">
        <f t="array" aca="1" ref="DC25" ca="1">_xll.BDP($BD$1,DC$15,"fund per=A","eqy fund year",YEAR($BB25))/$BG$4</f>
        <v>#NAME?</v>
      </c>
      <c r="DD25" s="8"/>
      <c r="DE25" s="8"/>
      <c r="DF25" s="8">
        <v>174.1</v>
      </c>
      <c r="DG25" s="8">
        <v>174.1</v>
      </c>
      <c r="DH25" s="821" t="str">
        <f t="shared" si="66"/>
        <v/>
      </c>
      <c r="DI25" s="828">
        <f t="shared" ca="1" si="62"/>
        <v>174.1</v>
      </c>
      <c r="DJ25" s="338" t="e">
        <f t="array" aca="1" ref="DJ25" ca="1">_xll.BDP($BD$1,DJ$15,"fund per=A","eqy fund year",YEAR($BB25))/1</f>
        <v>#NAME?</v>
      </c>
      <c r="DK25" s="2"/>
      <c r="DL25" s="2"/>
      <c r="DM25" s="162"/>
      <c r="DN25" s="388" t="str">
        <f t="shared" ca="1" si="63"/>
        <v/>
      </c>
      <c r="DO25" s="820">
        <v>73.569599999999994</v>
      </c>
      <c r="DP25" s="821"/>
      <c r="DQ25" s="821">
        <v>80.067999999999998</v>
      </c>
      <c r="DR25" s="833">
        <f t="shared" si="64"/>
        <v>73.569599999999994</v>
      </c>
      <c r="DS25" s="820">
        <v>0</v>
      </c>
      <c r="DT25" s="833">
        <v>0</v>
      </c>
      <c r="DU25" s="820"/>
      <c r="DV25" s="833"/>
      <c r="DX25" t="s">
        <v>749</v>
      </c>
      <c r="DY25" s="2" t="s">
        <v>750</v>
      </c>
      <c r="DZ25" s="695">
        <v>0.1</v>
      </c>
      <c r="EA25" s="531">
        <f t="shared" si="67"/>
        <v>6.3131806648806066</v>
      </c>
      <c r="EB25" s="531">
        <f t="shared" si="68"/>
        <v>-15.512265042703479</v>
      </c>
    </row>
    <row r="26" spans="1:132" ht="16" customHeight="1">
      <c r="A26" s="831">
        <v>43830</v>
      </c>
      <c r="B26" s="810">
        <v>356.19499999999999</v>
      </c>
      <c r="C26" s="775">
        <v>55.813800000000001</v>
      </c>
      <c r="D26" s="811">
        <v>30.007400000000001</v>
      </c>
      <c r="E26" s="775">
        <v>13.6347</v>
      </c>
      <c r="F26" s="687">
        <v>111.746</v>
      </c>
      <c r="G26" s="812">
        <f t="shared" si="2"/>
        <v>31.372141663976194</v>
      </c>
      <c r="H26" s="74">
        <v>91.921000000000006</v>
      </c>
      <c r="I26" s="813">
        <f t="shared" si="65"/>
        <v>25.806370106262023</v>
      </c>
      <c r="J26" s="687">
        <v>8.4030000000000005</v>
      </c>
      <c r="K26" s="687">
        <f t="shared" si="3"/>
        <v>5.3810000000000056</v>
      </c>
      <c r="L26" s="687">
        <v>78.137</v>
      </c>
      <c r="M26" s="775">
        <f t="shared" si="4"/>
        <v>21.936579682477294</v>
      </c>
      <c r="N26" s="197">
        <f t="shared" si="5"/>
        <v>-4.0736142928446191E-2</v>
      </c>
      <c r="O26" s="687">
        <v>81.319999999999993</v>
      </c>
      <c r="P26" s="775">
        <f t="shared" si="6"/>
        <v>22.830191327783936</v>
      </c>
      <c r="Q26" s="805">
        <f t="shared" si="7"/>
        <v>0</v>
      </c>
      <c r="R26" s="74">
        <v>81.319999999999993</v>
      </c>
      <c r="S26" s="812">
        <f t="shared" si="8"/>
        <v>83.149799999999999</v>
      </c>
      <c r="T26" s="814">
        <f t="shared" si="9"/>
        <v>1.06</v>
      </c>
      <c r="U26" s="74" t="str">
        <f t="shared" ca="1" si="10"/>
        <v/>
      </c>
      <c r="V26" s="775" t="str">
        <f t="shared" ca="1" si="11"/>
        <v/>
      </c>
      <c r="W26" s="687">
        <f t="shared" ca="1" si="12"/>
        <v>91.9</v>
      </c>
      <c r="X26" s="699" t="str">
        <f t="shared" ca="1" si="13"/>
        <v/>
      </c>
      <c r="Y26" s="815">
        <f t="shared" si="14"/>
        <v>2.0463510155953899</v>
      </c>
      <c r="Z26" s="775">
        <f t="shared" si="15"/>
        <v>10.895999999999999</v>
      </c>
      <c r="AA26" s="687" t="e">
        <f t="array" aca="1" ref="AA26" ca="1">_xll.BDP($BD$1,AA$15,"fund per=A","eqy fund year",YEAR($BB26))/$BG$4</f>
        <v>#NAME?</v>
      </c>
      <c r="AB26" s="775" t="str">
        <f t="shared" ca="1" si="16"/>
        <v/>
      </c>
      <c r="AC26" s="714" t="e">
        <f t="array" aca="1" ref="AC26" ca="1">_xll.BDP($BD$1,AC$15,"fund per=A","eqy fund year",YEAR($BB26))</f>
        <v>#NAME?</v>
      </c>
      <c r="AD26" s="180">
        <f t="shared" si="17"/>
        <v>1.5754716981132073</v>
      </c>
      <c r="AE26" s="816">
        <v>1.67</v>
      </c>
      <c r="AF26" s="784">
        <v>5.7252999999999998</v>
      </c>
      <c r="AG26" s="817">
        <v>29.168700000000001</v>
      </c>
      <c r="AH26" s="775">
        <v>30.767900000000001</v>
      </c>
      <c r="AI26" s="775" t="str">
        <f t="shared" ca="1" si="18"/>
        <v/>
      </c>
      <c r="AJ26" s="775" t="str">
        <f t="shared" ca="1" si="19"/>
        <v/>
      </c>
      <c r="AK26" s="805" t="str">
        <f t="shared" ca="1" si="20"/>
        <v/>
      </c>
      <c r="AL26" s="812" t="str">
        <f t="shared" ca="1" si="21"/>
        <v/>
      </c>
      <c r="AM26" s="812" t="str">
        <f t="shared" si="22"/>
        <v/>
      </c>
      <c r="AN26" s="805" t="str">
        <f t="shared" ca="1" si="23"/>
        <v/>
      </c>
      <c r="AO26" s="805" t="str">
        <f t="shared" ca="1" si="24"/>
        <v/>
      </c>
      <c r="AP26" s="805" t="str">
        <f t="shared" ca="1" si="25"/>
        <v/>
      </c>
      <c r="AQ26" s="805" t="str">
        <f t="shared" ca="1" si="26"/>
        <v/>
      </c>
      <c r="AR26" s="805" t="str">
        <f t="shared" ca="1" si="27"/>
        <v/>
      </c>
      <c r="AS26" s="784" t="str">
        <f t="shared" ca="1" si="28"/>
        <v/>
      </c>
      <c r="AU26" s="416">
        <v>398.75599999999997</v>
      </c>
      <c r="AV26" s="51">
        <v>1.1867000000000001</v>
      </c>
      <c r="AW26" s="53">
        <v>32.753480000000003</v>
      </c>
      <c r="AX26" s="818" t="str">
        <f t="shared" ca="1" si="29"/>
        <v/>
      </c>
      <c r="AY26" s="175">
        <v>29.168700000000001</v>
      </c>
      <c r="AZ26" s="165"/>
      <c r="BA26" s="57" t="e">
        <f ca="1">(BJ3)</f>
        <v>#NAME?</v>
      </c>
      <c r="BB26" s="464">
        <f t="shared" si="30"/>
        <v>43830</v>
      </c>
      <c r="BC26" s="832">
        <v>72.796700000000001</v>
      </c>
      <c r="BD26" s="820">
        <f t="shared" si="31"/>
        <v>83.149799999999999</v>
      </c>
      <c r="BE26" s="8"/>
      <c r="BF26" s="8">
        <f t="shared" si="32"/>
        <v>78.137</v>
      </c>
      <c r="BG26" s="8">
        <f t="shared" si="33"/>
        <v>78.137</v>
      </c>
      <c r="BH26" s="821">
        <v>1.776</v>
      </c>
      <c r="BI26" s="821">
        <v>10.179</v>
      </c>
      <c r="BJ26" s="821">
        <f t="shared" si="34"/>
        <v>0</v>
      </c>
      <c r="BK26" s="3" t="e">
        <f t="shared" ca="1" si="35"/>
        <v>#NAME?</v>
      </c>
      <c r="BL26" s="3" t="e">
        <f t="shared" ca="1" si="36"/>
        <v>#NAME?</v>
      </c>
      <c r="BM26" s="822" t="str">
        <f t="shared" ca="1" si="37"/>
        <v/>
      </c>
      <c r="BN26" s="327" t="e">
        <f t="shared" ca="1" si="38"/>
        <v>#NAME?</v>
      </c>
      <c r="BO26" s="8">
        <f t="shared" si="39"/>
        <v>305.86</v>
      </c>
      <c r="BP26" s="8">
        <f t="shared" si="40"/>
        <v>408.39800000000002</v>
      </c>
      <c r="BQ26" s="8">
        <v>0</v>
      </c>
      <c r="BR26" s="8">
        <f t="shared" si="41"/>
        <v>0</v>
      </c>
      <c r="BS26" s="368" t="e">
        <f t="shared" ca="1" si="42"/>
        <v>#NAME?</v>
      </c>
      <c r="BT26" s="25"/>
      <c r="BU26" s="25"/>
      <c r="BV26" s="8">
        <f t="shared" si="43"/>
        <v>0</v>
      </c>
      <c r="BW26" s="8">
        <f t="shared" si="44"/>
        <v>111.746</v>
      </c>
      <c r="BX26" s="8">
        <f t="shared" si="45"/>
        <v>111.746</v>
      </c>
      <c r="BY26" s="822" t="str">
        <f t="shared" ca="1" si="46"/>
        <v/>
      </c>
      <c r="BZ26" s="327" t="e">
        <f t="shared" ca="1" si="47"/>
        <v>#NAME?</v>
      </c>
      <c r="CA26" s="8">
        <f t="shared" si="48"/>
        <v>0</v>
      </c>
      <c r="CB26" s="8">
        <f t="shared" si="49"/>
        <v>81.319999999999993</v>
      </c>
      <c r="CC26" s="713">
        <f t="shared" si="50"/>
        <v>0</v>
      </c>
      <c r="CD26" s="8">
        <f t="shared" si="51"/>
        <v>111.746</v>
      </c>
      <c r="CE26" s="822" t="str">
        <f t="shared" ca="1" si="52"/>
        <v/>
      </c>
      <c r="CF26" s="338" t="s">
        <v>751</v>
      </c>
      <c r="CG26" s="2" t="e">
        <f ca="1">IF($CG17="S",IF(RIGHT(CG25)="A",LEFT(CG25,4)&amp;"S1",IF(RIGHT(CG25)="1",LEFT(CG25,4)-1&amp;"S2",LEFT(CG25,4)&amp;"S"&amp;IF(RIGHT(CG25)="2",1,2))),IF(RIGHT(CG25)="A",LEFT(CG25,4)&amp;"Q3",IF(RIGHT(CG25)="1",LEFT(CG25,4)-1&amp;"Q4",LEFT(CG25,4)&amp;"Q"&amp;RIGHT(CG25)-1)))</f>
        <v>#NAME?</v>
      </c>
      <c r="CH26" s="821" t="e">
        <f t="array" aca="1" ref="CH26" ca="1">IF($CG$17="S","",_xll.BDP($BD$1,$CI$15,"eqy fund per",RIGHT(CG26,2),"eqy fund year",LEFT(CG26,4))/$BG$4)</f>
        <v>#NAME?</v>
      </c>
      <c r="CI26" s="8"/>
      <c r="CJ26" s="3" t="e">
        <f t="array" aca="1" ref="CJ26" ca="1">IF($CG$17="S","",_xll.BDP($BD$1,$CK$15,"eqy fund per",RIGHT(CG26,2),"eqy fund year",LEFT(CG26,4)))</f>
        <v>#NAME?</v>
      </c>
      <c r="CK26" s="765"/>
      <c r="CL26" s="327" t="e">
        <f t="array" aca="1" ref="CL26" ca="1">_xll.BDP($BD$1,CL$15,"fund per=A","eqy fund year",YEAR($BB26))/$BG$4</f>
        <v>#NAME?</v>
      </c>
      <c r="CM26" s="8" t="e">
        <f t="shared" ca="1" si="53"/>
        <v>#NAME?</v>
      </c>
      <c r="CN26" s="8" t="e">
        <f t="array" aca="1" ref="CN26" ca="1">_xll.BDP($BD$1,CN$15,"fund per=A","eqy fund year",YEAR($BB26))/$BG$4</f>
        <v>#NAME?</v>
      </c>
      <c r="CO26" s="8" t="e">
        <f t="shared" ca="1" si="54"/>
        <v>#NAME?</v>
      </c>
      <c r="CP26" s="8" t="e">
        <f t="shared" ca="1" si="55"/>
        <v>#NAME?</v>
      </c>
      <c r="CQ26" s="822" t="str">
        <f t="shared" ca="1" si="56"/>
        <v/>
      </c>
      <c r="CR26" s="380">
        <f t="shared" si="57"/>
        <v>29.168700000000001</v>
      </c>
      <c r="CS26" s="821" t="str">
        <f t="shared" ca="1" si="58"/>
        <v/>
      </c>
      <c r="CT26" s="823" t="e">
        <f t="shared" ca="1" si="59"/>
        <v>#VALUE!</v>
      </c>
      <c r="CU26" s="821" t="str">
        <f t="shared" ca="1" si="69"/>
        <v/>
      </c>
      <c r="CV26" s="822" t="e">
        <f t="shared" ca="1" si="60"/>
        <v>#VALUE!</v>
      </c>
      <c r="CW26" s="820" t="e">
        <f t="array" aca="1" ref="CW26" ca="1">_xll.BDP($BD$1,CW$15,"fund per=A","eqy fund year",YEAR($BB26))/$BG$4</f>
        <v>#NAME?</v>
      </c>
      <c r="CX26" s="821"/>
      <c r="CY26" s="821"/>
      <c r="CZ26" s="821"/>
      <c r="DA26" s="821"/>
      <c r="DB26" s="833" t="str">
        <f t="shared" ca="1" si="61"/>
        <v/>
      </c>
      <c r="DC26" s="820" t="e">
        <f t="array" aca="1" ref="DC26" ca="1">_xll.BDP($BD$1,DC$15,"fund per=A","eqy fund year",YEAR($BB26))/$BG$4</f>
        <v>#NAME?</v>
      </c>
      <c r="DD26" s="8"/>
      <c r="DE26" s="8"/>
      <c r="DF26" s="8">
        <v>91.9</v>
      </c>
      <c r="DG26" s="8">
        <v>91.9</v>
      </c>
      <c r="DH26" s="821" t="str">
        <f t="shared" si="66"/>
        <v/>
      </c>
      <c r="DI26" s="828">
        <f t="shared" ca="1" si="62"/>
        <v>91.9</v>
      </c>
      <c r="DJ26" s="380" t="e">
        <f t="array" aca="1" ref="DJ26" ca="1">_xll.BDP($BD$1,DJ$15,"fund per=A","eqy fund year",YEAR($BB26))/1</f>
        <v>#NAME?</v>
      </c>
      <c r="DK26" s="2"/>
      <c r="DL26" s="2"/>
      <c r="DM26" s="162"/>
      <c r="DN26" s="388" t="str">
        <f t="shared" ca="1" si="63"/>
        <v/>
      </c>
      <c r="DO26" s="820">
        <v>72.212400000000002</v>
      </c>
      <c r="DP26" s="821"/>
      <c r="DQ26" s="821">
        <v>80.067999999999998</v>
      </c>
      <c r="DR26" s="833">
        <f t="shared" si="64"/>
        <v>72.212400000000002</v>
      </c>
      <c r="DS26" s="820">
        <v>0</v>
      </c>
      <c r="DT26" s="833">
        <v>0</v>
      </c>
      <c r="DU26" s="820"/>
      <c r="DV26" s="833"/>
      <c r="DX26" t="s">
        <v>752</v>
      </c>
      <c r="DY26" s="2" t="s">
        <v>753</v>
      </c>
      <c r="DZ26" s="695">
        <v>0</v>
      </c>
      <c r="EA26" s="531">
        <f t="shared" si="67"/>
        <v>4.2428436742684354</v>
      </c>
      <c r="EB26" s="531">
        <f t="shared" si="68"/>
        <v>-32.793881571126001</v>
      </c>
    </row>
    <row r="27" spans="1:132" ht="16" customHeight="1">
      <c r="A27" s="831">
        <v>44196</v>
      </c>
      <c r="B27" s="810">
        <v>433.62299999999999</v>
      </c>
      <c r="C27" s="775">
        <v>59.629399999999997</v>
      </c>
      <c r="D27" s="811">
        <v>25.069500000000001</v>
      </c>
      <c r="E27" s="775">
        <v>11.670299999999999</v>
      </c>
      <c r="F27" s="687">
        <v>169.036</v>
      </c>
      <c r="G27" s="812">
        <f t="shared" si="2"/>
        <v>38.982249557795598</v>
      </c>
      <c r="H27" s="74">
        <v>149.86000000000001</v>
      </c>
      <c r="I27" s="813">
        <f t="shared" si="65"/>
        <v>34.559974909080012</v>
      </c>
      <c r="J27" s="687">
        <v>11.813000000000001</v>
      </c>
      <c r="K27" s="687">
        <f t="shared" si="3"/>
        <v>0.53000000000001712</v>
      </c>
      <c r="L27" s="687">
        <v>137.517</v>
      </c>
      <c r="M27" s="775">
        <f t="shared" si="4"/>
        <v>31.713493057333213</v>
      </c>
      <c r="N27" s="197">
        <f t="shared" si="5"/>
        <v>3.8118923478551746E-2</v>
      </c>
      <c r="O27" s="687">
        <v>132.27500000000001</v>
      </c>
      <c r="P27" s="775">
        <f t="shared" si="6"/>
        <v>30.504608842243147</v>
      </c>
      <c r="Q27" s="805">
        <f t="shared" si="7"/>
        <v>0</v>
      </c>
      <c r="R27" s="74">
        <v>132.27500000000001</v>
      </c>
      <c r="S27" s="812">
        <f t="shared" si="8"/>
        <v>83.773399999999995</v>
      </c>
      <c r="T27" s="814">
        <f t="shared" si="9"/>
        <v>1.67</v>
      </c>
      <c r="U27" s="74" t="str">
        <f t="shared" ca="1" si="10"/>
        <v/>
      </c>
      <c r="V27" s="775" t="str">
        <f t="shared" ca="1" si="11"/>
        <v/>
      </c>
      <c r="W27" s="687">
        <f t="shared" ca="1" si="12"/>
        <v>149.9</v>
      </c>
      <c r="X27" s="699" t="str">
        <f t="shared" ca="1" si="13"/>
        <v/>
      </c>
      <c r="Y27" s="815">
        <f t="shared" si="14"/>
        <v>2.4145398191516598</v>
      </c>
      <c r="Z27" s="775">
        <f t="shared" si="15"/>
        <v>1.4999999999999999E-2</v>
      </c>
      <c r="AA27" s="687" t="e">
        <f t="array" aca="1" ref="AA27" ca="1">_xll.BDP($BD$1,AA$15,"fund per=A","eqy fund year",YEAR($BB27))/$BG$4</f>
        <v>#NAME?</v>
      </c>
      <c r="AB27" s="775" t="str">
        <f t="shared" ca="1" si="16"/>
        <v/>
      </c>
      <c r="AC27" s="714" t="e">
        <f t="array" aca="1" ref="AC27" ca="1">_xll.BDP($BD$1,AC$15,"fund per=A","eqy fund year",YEAR($BB27))</f>
        <v>#NAME?</v>
      </c>
      <c r="AD27" s="180">
        <f t="shared" si="17"/>
        <v>0.60479041916167664</v>
      </c>
      <c r="AE27" s="816">
        <v>1.01</v>
      </c>
      <c r="AF27" s="784">
        <v>2.3378000000000001</v>
      </c>
      <c r="AG27" s="817">
        <v>43.202399999999997</v>
      </c>
      <c r="AH27" s="775">
        <v>27.241800000000001</v>
      </c>
      <c r="AI27" s="775" t="str">
        <f t="shared" ca="1" si="18"/>
        <v/>
      </c>
      <c r="AJ27" s="775" t="str">
        <f t="shared" ca="1" si="19"/>
        <v/>
      </c>
      <c r="AK27" s="805" t="str">
        <f t="shared" ca="1" si="20"/>
        <v/>
      </c>
      <c r="AL27" s="812" t="str">
        <f t="shared" ca="1" si="21"/>
        <v/>
      </c>
      <c r="AM27" s="812" t="str">
        <f t="shared" si="22"/>
        <v/>
      </c>
      <c r="AN27" s="805" t="str">
        <f t="shared" ca="1" si="23"/>
        <v/>
      </c>
      <c r="AO27" s="805" t="str">
        <f t="shared" ca="1" si="24"/>
        <v/>
      </c>
      <c r="AP27" s="805" t="str">
        <f t="shared" ca="1" si="25"/>
        <v/>
      </c>
      <c r="AQ27" s="805" t="str">
        <f t="shared" ca="1" si="26"/>
        <v/>
      </c>
      <c r="AR27" s="805" t="str">
        <f t="shared" ca="1" si="27"/>
        <v/>
      </c>
      <c r="AS27" s="784" t="str">
        <f t="shared" ca="1" si="28"/>
        <v/>
      </c>
      <c r="AU27" s="416">
        <v>495.08120000000002</v>
      </c>
      <c r="AV27" s="51">
        <v>1.9067000000000001</v>
      </c>
      <c r="AW27" s="53">
        <v>52.814920000000001</v>
      </c>
      <c r="AX27" s="818" t="str">
        <f t="shared" ca="1" si="29"/>
        <v/>
      </c>
      <c r="AY27" s="175">
        <v>43.202399999999997</v>
      </c>
      <c r="AZ27" s="46"/>
      <c r="BA27" s="47" t="e">
        <f ca="1">(BJ4)</f>
        <v>#NAME?</v>
      </c>
      <c r="BB27" s="464">
        <f t="shared" si="30"/>
        <v>44196</v>
      </c>
      <c r="BC27" s="832">
        <v>72.501400000000004</v>
      </c>
      <c r="BD27" s="820">
        <f t="shared" si="31"/>
        <v>83.773399999999995</v>
      </c>
      <c r="BE27" s="8"/>
      <c r="BF27" s="8">
        <f t="shared" si="32"/>
        <v>137.517</v>
      </c>
      <c r="BG27" s="8">
        <f t="shared" si="33"/>
        <v>137.517</v>
      </c>
      <c r="BH27" s="821">
        <v>5.8000000000000003E-2</v>
      </c>
      <c r="BI27" s="821">
        <v>11.871</v>
      </c>
      <c r="BJ27" s="821">
        <f t="shared" si="34"/>
        <v>0</v>
      </c>
      <c r="BK27" s="3" t="e">
        <f t="shared" ca="1" si="35"/>
        <v>#NAME?</v>
      </c>
      <c r="BL27" s="3" t="e">
        <f t="shared" ca="1" si="36"/>
        <v>#NAME?</v>
      </c>
      <c r="BM27" s="822" t="str">
        <f t="shared" ca="1" si="37"/>
        <v/>
      </c>
      <c r="BN27" s="327" t="e">
        <f t="shared" ca="1" si="38"/>
        <v>#NAME?</v>
      </c>
      <c r="BO27" s="8">
        <f t="shared" si="39"/>
        <v>420.78200000000004</v>
      </c>
      <c r="BP27" s="8">
        <f t="shared" si="40"/>
        <v>598.70500000000004</v>
      </c>
      <c r="BQ27" s="8">
        <v>0</v>
      </c>
      <c r="BR27" s="8">
        <f t="shared" si="41"/>
        <v>0</v>
      </c>
      <c r="BS27" s="368" t="e">
        <f t="shared" ca="1" si="42"/>
        <v>#NAME?</v>
      </c>
      <c r="BT27" s="25"/>
      <c r="BU27" s="25"/>
      <c r="BV27" s="8">
        <f t="shared" si="43"/>
        <v>0</v>
      </c>
      <c r="BW27" s="8">
        <f t="shared" si="44"/>
        <v>169.036</v>
      </c>
      <c r="BX27" s="8">
        <f t="shared" si="45"/>
        <v>169.036</v>
      </c>
      <c r="BY27" s="822" t="str">
        <f t="shared" ca="1" si="46"/>
        <v/>
      </c>
      <c r="BZ27" s="327" t="e">
        <f t="shared" ca="1" si="47"/>
        <v>#NAME?</v>
      </c>
      <c r="CA27" s="8">
        <f t="shared" si="48"/>
        <v>0</v>
      </c>
      <c r="CB27" s="8">
        <f t="shared" si="49"/>
        <v>132.27500000000001</v>
      </c>
      <c r="CC27" s="713">
        <f t="shared" si="50"/>
        <v>0</v>
      </c>
      <c r="CD27" s="8">
        <f t="shared" si="51"/>
        <v>169.036</v>
      </c>
      <c r="CE27" s="822" t="str">
        <f t="shared" ca="1" si="52"/>
        <v/>
      </c>
      <c r="CF27" s="338" t="s">
        <v>754</v>
      </c>
      <c r="CH27" s="821" t="str">
        <f ca="1">IF(AND(ISNUMBER(CH21),ISNUMBER(CH22),ISNUMBER(CH23),ISNUMBER(CH24)),SUM(CH21:CH24),"")</f>
        <v/>
      </c>
      <c r="CI27" s="821" t="str">
        <f ca="1">IF(AND(ISNUMBER(CI21),ISNUMBER(CI22)),SUM(CI21:CI22),"")</f>
        <v/>
      </c>
      <c r="CJ27" s="3" t="str">
        <f ca="1">IF(AND(ISNUMBER(CJ21),ISNUMBER(CJ22),ISNUMBER(CJ23),ISNUMBER(CJ24)),SUM(CJ21:CJ24),"")</f>
        <v/>
      </c>
      <c r="CK27" s="376" t="str">
        <f ca="1">IF(AND(ISNUMBER(CK21),ISNUMBER(CK22)),SUM(CK21:CK22),"")</f>
        <v/>
      </c>
      <c r="CL27" s="327" t="e">
        <f t="array" aca="1" ref="CL27" ca="1">_xll.BDP($BD$1,CL$15,"fund per=A","eqy fund year",YEAR($BB27))/$BG$4</f>
        <v>#NAME?</v>
      </c>
      <c r="CM27" s="8" t="e">
        <f t="shared" ca="1" si="53"/>
        <v>#NAME?</v>
      </c>
      <c r="CN27" s="8" t="e">
        <f t="array" aca="1" ref="CN27" ca="1">_xll.BDP($BD$1,CN$15,"fund per=A","eqy fund year",YEAR($BB27))/$BG$4</f>
        <v>#NAME?</v>
      </c>
      <c r="CO27" s="8" t="e">
        <f t="shared" ca="1" si="54"/>
        <v>#NAME?</v>
      </c>
      <c r="CP27" s="8" t="e">
        <f t="shared" ca="1" si="55"/>
        <v>#NAME?</v>
      </c>
      <c r="CQ27" s="822" t="str">
        <f t="shared" ca="1" si="56"/>
        <v/>
      </c>
      <c r="CR27" s="380">
        <f t="shared" si="57"/>
        <v>43.202399999999997</v>
      </c>
      <c r="CS27" s="821" t="str">
        <f t="shared" ca="1" si="58"/>
        <v/>
      </c>
      <c r="CT27" s="823" t="e">
        <f t="shared" ca="1" si="59"/>
        <v>#VALUE!</v>
      </c>
      <c r="CU27" s="821" t="str">
        <f t="shared" ca="1" si="69"/>
        <v/>
      </c>
      <c r="CV27" s="822" t="e">
        <f t="shared" ca="1" si="60"/>
        <v>#VALUE!</v>
      </c>
      <c r="CW27" s="820" t="e">
        <f t="array" aca="1" ref="CW27" ca="1">_xll.BDP($BD$1,CW$15,"fund per=A","eqy fund year",YEAR($BB27))/$BG$4</f>
        <v>#NAME?</v>
      </c>
      <c r="CX27" s="821"/>
      <c r="CY27" s="821"/>
      <c r="CZ27" s="821"/>
      <c r="DA27" s="821"/>
      <c r="DB27" s="833" t="str">
        <f t="shared" ca="1" si="61"/>
        <v/>
      </c>
      <c r="DC27" s="820" t="e">
        <f t="array" aca="1" ref="DC27" ca="1">_xll.BDP($BD$1,DC$15,"fund per=A","eqy fund year",YEAR($BB27))/$BG$4</f>
        <v>#NAME?</v>
      </c>
      <c r="DD27" s="8"/>
      <c r="DE27" s="8"/>
      <c r="DF27" s="8">
        <v>149.9</v>
      </c>
      <c r="DG27" s="8">
        <v>149.9</v>
      </c>
      <c r="DH27" s="821" t="str">
        <f t="shared" si="66"/>
        <v/>
      </c>
      <c r="DI27" s="828">
        <f t="shared" ca="1" si="62"/>
        <v>149.9</v>
      </c>
      <c r="DJ27" s="380" t="e">
        <f t="array" aca="1" ref="DJ27" ca="1">_xll.BDP($BD$1,DJ$15,"fund per=A","eqy fund year",YEAR($BB27))/1</f>
        <v>#NAME?</v>
      </c>
      <c r="DK27" s="2"/>
      <c r="DL27" s="2"/>
      <c r="DM27" s="162"/>
      <c r="DN27" s="388" t="str">
        <f t="shared" ca="1" si="63"/>
        <v/>
      </c>
      <c r="DO27" s="820">
        <v>72.865899999999996</v>
      </c>
      <c r="DP27" s="821"/>
      <c r="DQ27" s="821">
        <v>78.567999999999998</v>
      </c>
      <c r="DR27" s="833">
        <f t="shared" si="64"/>
        <v>72.865899999999996</v>
      </c>
      <c r="DS27" s="820">
        <v>0</v>
      </c>
      <c r="DT27" s="833">
        <v>0</v>
      </c>
      <c r="DU27" s="820"/>
      <c r="DV27" s="833"/>
      <c r="DX27" t="s">
        <v>755</v>
      </c>
      <c r="DY27" s="2" t="s">
        <v>756</v>
      </c>
      <c r="DZ27" s="695">
        <v>0.15</v>
      </c>
      <c r="EA27" s="531">
        <f t="shared" si="67"/>
        <v>5.1954791185407414</v>
      </c>
      <c r="EB27" s="531">
        <f t="shared" si="68"/>
        <v>22.452758513111196</v>
      </c>
    </row>
    <row r="28" spans="1:132" ht="16" customHeight="1">
      <c r="A28" s="831">
        <v>44561</v>
      </c>
      <c r="B28" s="810">
        <v>749.29700000000003</v>
      </c>
      <c r="C28" s="775">
        <v>59.632199999999997</v>
      </c>
      <c r="D28" s="811">
        <v>17.248000000000001</v>
      </c>
      <c r="E28" s="775">
        <v>7.9248000000000003</v>
      </c>
      <c r="F28" s="687">
        <v>335.14699999999999</v>
      </c>
      <c r="G28" s="812">
        <f t="shared" si="2"/>
        <v>44.728191891866643</v>
      </c>
      <c r="H28" s="74">
        <v>317.58300000000003</v>
      </c>
      <c r="I28" s="813">
        <f t="shared" si="65"/>
        <v>42.384128056031187</v>
      </c>
      <c r="J28" s="687">
        <v>10.724</v>
      </c>
      <c r="K28" s="687">
        <f t="shared" si="3"/>
        <v>3.0190000000000516</v>
      </c>
      <c r="L28" s="687">
        <v>303.83999999999997</v>
      </c>
      <c r="M28" s="775">
        <f t="shared" si="4"/>
        <v>40.55000887498548</v>
      </c>
      <c r="N28" s="197">
        <f t="shared" si="5"/>
        <v>7.0500921537651404E-2</v>
      </c>
      <c r="O28" s="687">
        <v>282.41899999999998</v>
      </c>
      <c r="P28" s="775">
        <f t="shared" si="6"/>
        <v>37.691195880939063</v>
      </c>
      <c r="Q28" s="805">
        <f t="shared" si="7"/>
        <v>0</v>
      </c>
      <c r="R28" s="74">
        <v>282.41899999999998</v>
      </c>
      <c r="S28" s="812">
        <f t="shared" si="8"/>
        <v>85.3583</v>
      </c>
      <c r="T28" s="814">
        <f t="shared" si="9"/>
        <v>3.39</v>
      </c>
      <c r="U28" s="74" t="str">
        <f t="shared" ca="1" si="10"/>
        <v/>
      </c>
      <c r="V28" s="775" t="str">
        <f t="shared" ca="1" si="11"/>
        <v/>
      </c>
      <c r="W28" s="687">
        <f t="shared" ca="1" si="12"/>
        <v>317.60000000000002</v>
      </c>
      <c r="X28" s="699" t="str">
        <f t="shared" ca="1" si="13"/>
        <v/>
      </c>
      <c r="Y28" s="815">
        <f t="shared" si="14"/>
        <v>2.1899193510717376</v>
      </c>
      <c r="Z28" s="775">
        <f t="shared" si="15"/>
        <v>1.2E-2</v>
      </c>
      <c r="AA28" s="687" t="e">
        <f t="array" aca="1" ref="AA28" ca="1">_xll.BDP($BD$1,AA$15,"fund per=A","eqy fund year",YEAR($BB28))/$BG$4</f>
        <v>#NAME?</v>
      </c>
      <c r="AB28" s="775" t="str">
        <f t="shared" ca="1" si="16"/>
        <v/>
      </c>
      <c r="AC28" s="714" t="e">
        <f t="array" aca="1" ref="AC28" ca="1">_xll.BDP($BD$1,AC$15,"fund per=A","eqy fund year",YEAR($BB28))</f>
        <v>#NAME?</v>
      </c>
      <c r="AD28" s="180">
        <f t="shared" si="17"/>
        <v>0.50147492625368728</v>
      </c>
      <c r="AE28" s="816">
        <v>1.7</v>
      </c>
      <c r="AF28" s="784">
        <v>2.5343</v>
      </c>
      <c r="AG28" s="817">
        <v>67.080699999999993</v>
      </c>
      <c r="AH28" s="775">
        <v>20.275700000000001</v>
      </c>
      <c r="AI28" s="775" t="str">
        <f t="shared" ca="1" si="18"/>
        <v/>
      </c>
      <c r="AJ28" s="775" t="str">
        <f t="shared" ca="1" si="19"/>
        <v/>
      </c>
      <c r="AK28" s="805" t="str">
        <f t="shared" ca="1" si="20"/>
        <v/>
      </c>
      <c r="AL28" s="812" t="str">
        <f t="shared" ca="1" si="21"/>
        <v/>
      </c>
      <c r="AM28" s="812" t="str">
        <f t="shared" si="22"/>
        <v/>
      </c>
      <c r="AN28" s="805" t="str">
        <f t="shared" ca="1" si="23"/>
        <v/>
      </c>
      <c r="AO28" s="805" t="str">
        <f t="shared" ca="1" si="24"/>
        <v/>
      </c>
      <c r="AP28" s="805" t="str">
        <f t="shared" ca="1" si="25"/>
        <v/>
      </c>
      <c r="AQ28" s="805" t="str">
        <f t="shared" ca="1" si="26"/>
        <v/>
      </c>
      <c r="AR28" s="805" t="str">
        <f t="shared" ca="1" si="27"/>
        <v/>
      </c>
      <c r="AS28" s="784" t="str">
        <f t="shared" ca="1" si="28"/>
        <v/>
      </c>
      <c r="AU28" s="416">
        <v>886.24350000000004</v>
      </c>
      <c r="AV28" s="51">
        <v>4.0095999999999998</v>
      </c>
      <c r="AW28" s="53">
        <v>76.378119999999996</v>
      </c>
      <c r="AX28" s="818" t="str">
        <f t="shared" ca="1" si="29"/>
        <v/>
      </c>
      <c r="AY28" s="175">
        <v>67.080699999999993</v>
      </c>
      <c r="AZ28" s="46"/>
      <c r="BA28" s="47" t="e">
        <f t="array" aca="1" ref="BA28" ca="1">IF(BA26=BA27,1,_xll.BDP(BA27&amp;BA26&amp;" Curncy","px last"))</f>
        <v>#NAME?</v>
      </c>
      <c r="BB28" s="464">
        <f t="shared" si="30"/>
        <v>44561</v>
      </c>
      <c r="BC28" s="832">
        <v>76.309700000000007</v>
      </c>
      <c r="BD28" s="820">
        <f t="shared" si="31"/>
        <v>85.3583</v>
      </c>
      <c r="BE28" s="8"/>
      <c r="BF28" s="8">
        <f t="shared" si="32"/>
        <v>303.83999999999997</v>
      </c>
      <c r="BG28" s="8">
        <f t="shared" si="33"/>
        <v>303.83999999999997</v>
      </c>
      <c r="BH28" s="821">
        <v>0.23799999999999999</v>
      </c>
      <c r="BI28" s="821">
        <v>10.962</v>
      </c>
      <c r="BJ28" s="821">
        <f t="shared" si="34"/>
        <v>0</v>
      </c>
      <c r="BK28" s="3" t="e">
        <f t="shared" ca="1" si="35"/>
        <v>#NAME?</v>
      </c>
      <c r="BL28" s="3" t="e">
        <f t="shared" ca="1" si="36"/>
        <v>#NAME?</v>
      </c>
      <c r="BM28" s="822" t="str">
        <f t="shared" ca="1" si="37"/>
        <v/>
      </c>
      <c r="BN28" s="327" t="e">
        <f t="shared" ca="1" si="38"/>
        <v>#NAME?</v>
      </c>
      <c r="BO28" s="8">
        <f t="shared" si="39"/>
        <v>321.64100000000002</v>
      </c>
      <c r="BP28" s="8">
        <f t="shared" si="40"/>
        <v>647.18399999999997</v>
      </c>
      <c r="BQ28" s="8">
        <v>0</v>
      </c>
      <c r="BR28" s="8">
        <f t="shared" si="41"/>
        <v>0</v>
      </c>
      <c r="BS28" s="368" t="e">
        <f t="shared" ca="1" si="42"/>
        <v>#NAME?</v>
      </c>
      <c r="BT28" s="25"/>
      <c r="BU28" s="25"/>
      <c r="BV28" s="8">
        <f t="shared" si="43"/>
        <v>0</v>
      </c>
      <c r="BW28" s="8">
        <f t="shared" si="44"/>
        <v>335.14699999999999</v>
      </c>
      <c r="BX28" s="8">
        <f t="shared" si="45"/>
        <v>335.14699999999999</v>
      </c>
      <c r="BY28" s="822" t="str">
        <f t="shared" ca="1" si="46"/>
        <v/>
      </c>
      <c r="BZ28" s="327" t="e">
        <f t="shared" ca="1" si="47"/>
        <v>#NAME?</v>
      </c>
      <c r="CA28" s="8">
        <f t="shared" si="48"/>
        <v>0</v>
      </c>
      <c r="CB28" s="8">
        <f t="shared" si="49"/>
        <v>282.41899999999998</v>
      </c>
      <c r="CC28" s="713">
        <f t="shared" si="50"/>
        <v>0</v>
      </c>
      <c r="CD28" s="8">
        <f t="shared" si="51"/>
        <v>335.14699999999999</v>
      </c>
      <c r="CE28" s="822" t="str">
        <f t="shared" ca="1" si="52"/>
        <v/>
      </c>
      <c r="CF28" s="377" t="s">
        <v>757</v>
      </c>
      <c r="CG28" s="753"/>
      <c r="CH28" s="835"/>
      <c r="CI28" s="836" t="str">
        <f ca="1">IF(ISNUMBER(CH27),CH27,IF(ISNUMBER(CI27),CI27,""))</f>
        <v/>
      </c>
      <c r="CJ28" s="30"/>
      <c r="CK28" s="378" t="str">
        <f ca="1">IF(ISNUMBER(CJ27),CJ27,IF(ISNUMBER(CK27),CK27,""))</f>
        <v/>
      </c>
      <c r="CL28" s="327" t="e">
        <f t="array" aca="1" ref="CL28" ca="1">_xll.BDP($BD$1,CL$15,"fund per=A","eqy fund year",YEAR($BB28))/$BG$4</f>
        <v>#NAME?</v>
      </c>
      <c r="CM28" s="8" t="e">
        <f t="shared" ca="1" si="53"/>
        <v>#NAME?</v>
      </c>
      <c r="CN28" s="8" t="e">
        <f t="array" aca="1" ref="CN28" ca="1">_xll.BDP($BD$1,CN$15,"fund per=A","eqy fund year",YEAR($BB28))/$BG$4</f>
        <v>#NAME?</v>
      </c>
      <c r="CO28" s="8" t="e">
        <f t="shared" ca="1" si="54"/>
        <v>#NAME?</v>
      </c>
      <c r="CP28" s="8" t="e">
        <f t="shared" ca="1" si="55"/>
        <v>#NAME?</v>
      </c>
      <c r="CQ28" s="822" t="str">
        <f t="shared" ca="1" si="56"/>
        <v/>
      </c>
      <c r="CR28" s="380">
        <f t="shared" si="57"/>
        <v>67.080699999999993</v>
      </c>
      <c r="CS28" s="821" t="str">
        <f t="shared" ca="1" si="58"/>
        <v/>
      </c>
      <c r="CT28" s="823" t="e">
        <f t="shared" ca="1" si="59"/>
        <v>#VALUE!</v>
      </c>
      <c r="CU28" s="821" t="str">
        <f t="shared" ca="1" si="69"/>
        <v/>
      </c>
      <c r="CV28" s="822" t="e">
        <f t="shared" ca="1" si="60"/>
        <v>#VALUE!</v>
      </c>
      <c r="CW28" s="820" t="e">
        <f t="array" aca="1" ref="CW28" ca="1">_xll.BDP($BD$1,CW$15,"fund per=A","eqy fund year",YEAR($BB28))/$BG$4</f>
        <v>#NAME?</v>
      </c>
      <c r="CX28" s="821"/>
      <c r="CY28" s="821"/>
      <c r="CZ28" s="821"/>
      <c r="DA28" s="821"/>
      <c r="DB28" s="833" t="str">
        <f t="shared" ca="1" si="61"/>
        <v/>
      </c>
      <c r="DC28" s="820" t="e">
        <f t="array" aca="1" ref="DC28" ca="1">_xll.BDP($BD$1,DC$15,"fund per=A","eqy fund year",YEAR($BB28))/$BG$4</f>
        <v>#NAME?</v>
      </c>
      <c r="DD28" s="8"/>
      <c r="DE28" s="8"/>
      <c r="DF28" s="8">
        <v>317.60000000000002</v>
      </c>
      <c r="DG28" s="8">
        <v>317.60000000000002</v>
      </c>
      <c r="DH28" s="821" t="str">
        <f t="shared" si="66"/>
        <v/>
      </c>
      <c r="DI28" s="828">
        <f t="shared" ca="1" si="62"/>
        <v>317.60000000000002</v>
      </c>
      <c r="DJ28" s="380" t="e">
        <f t="array" aca="1" ref="DJ28" ca="1">_xll.BDP($BD$1,DJ$15,"fund per=A","eqy fund year",YEAR($BB28))/1</f>
        <v>#NAME?</v>
      </c>
      <c r="DK28" s="2"/>
      <c r="DL28" s="2"/>
      <c r="DM28" s="162"/>
      <c r="DN28" s="388" t="str">
        <f t="shared" ca="1" si="63"/>
        <v/>
      </c>
      <c r="DO28" s="820">
        <v>72.865899999999996</v>
      </c>
      <c r="DP28" s="821"/>
      <c r="DQ28" s="821">
        <v>78.567999999999998</v>
      </c>
      <c r="DR28" s="833">
        <f t="shared" si="64"/>
        <v>72.865899999999996</v>
      </c>
      <c r="DS28" s="820">
        <v>0</v>
      </c>
      <c r="DT28" s="833">
        <v>0</v>
      </c>
      <c r="DU28" s="820"/>
      <c r="DV28" s="833"/>
      <c r="DX28" t="s">
        <v>758</v>
      </c>
      <c r="DY28" s="2" t="s">
        <v>759</v>
      </c>
      <c r="DZ28" s="695">
        <v>0.15</v>
      </c>
      <c r="EA28" s="531">
        <f t="shared" si="67"/>
        <v>8.8605152079710674</v>
      </c>
      <c r="EB28" s="531">
        <f t="shared" si="68"/>
        <v>70.542793182464521</v>
      </c>
    </row>
    <row r="29" spans="1:132" ht="16" customHeight="1">
      <c r="A29" s="831">
        <v>44926</v>
      </c>
      <c r="B29" s="810">
        <v>722.87</v>
      </c>
      <c r="C29" s="775">
        <v>61.293599999999998</v>
      </c>
      <c r="D29" s="811">
        <v>20.606300000000001</v>
      </c>
      <c r="E29" s="775">
        <v>10.450699999999999</v>
      </c>
      <c r="F29" s="687">
        <v>317.108</v>
      </c>
      <c r="G29" s="812">
        <f t="shared" si="2"/>
        <v>43.867915392809223</v>
      </c>
      <c r="H29" s="74">
        <v>294.11599999999999</v>
      </c>
      <c r="I29" s="813">
        <f t="shared" si="65"/>
        <v>40.687260503271681</v>
      </c>
      <c r="J29" s="687">
        <v>10.569000000000001</v>
      </c>
      <c r="K29" s="687">
        <f t="shared" si="3"/>
        <v>8.0569999999999755</v>
      </c>
      <c r="L29" s="687">
        <v>275.49</v>
      </c>
      <c r="M29" s="775">
        <f t="shared" si="4"/>
        <v>38.110586965844483</v>
      </c>
      <c r="N29" s="197">
        <f t="shared" si="5"/>
        <v>0.12647646012559441</v>
      </c>
      <c r="O29" s="687">
        <v>240.64699999999999</v>
      </c>
      <c r="P29" s="775">
        <f t="shared" si="6"/>
        <v>33.290494833095849</v>
      </c>
      <c r="Q29" s="805">
        <f t="shared" si="7"/>
        <v>0</v>
      </c>
      <c r="R29" s="74">
        <v>240.64699999999999</v>
      </c>
      <c r="S29" s="812">
        <f t="shared" si="8"/>
        <v>85.526200000000003</v>
      </c>
      <c r="T29" s="814">
        <f t="shared" si="9"/>
        <v>2.9</v>
      </c>
      <c r="U29" s="74" t="str">
        <f t="shared" ca="1" si="10"/>
        <v/>
      </c>
      <c r="V29" s="775" t="str">
        <f t="shared" ca="1" si="11"/>
        <v/>
      </c>
      <c r="W29" s="687">
        <f t="shared" ca="1" si="12"/>
        <v>294.10000000000002</v>
      </c>
      <c r="X29" s="699" t="str">
        <f t="shared" ca="1" si="13"/>
        <v/>
      </c>
      <c r="Y29" s="815">
        <f t="shared" si="14"/>
        <v>2.1108913082573633</v>
      </c>
      <c r="Z29" s="775">
        <f t="shared" si="15"/>
        <v>1.0999999999999999E-2</v>
      </c>
      <c r="AA29" s="687" t="e">
        <f t="array" aca="1" ref="AA29" ca="1">_xll.BDP($BD$1,AA$15,"fund per=A","eqy fund year",YEAR($BB29))/$BG$4</f>
        <v>#NAME?</v>
      </c>
      <c r="AB29" s="775" t="str">
        <f t="shared" ca="1" si="16"/>
        <v/>
      </c>
      <c r="AC29" s="714" t="e">
        <f t="array" aca="1" ref="AC29" ca="1">_xll.BDP($BD$1,AC$15,"fund per=A","eqy fund year",YEAR($BB29))</f>
        <v>#NAME?</v>
      </c>
      <c r="AD29" s="180">
        <f t="shared" si="17"/>
        <v>1.1482758620689655</v>
      </c>
      <c r="AE29" s="816">
        <v>3.33</v>
      </c>
      <c r="AF29" s="784">
        <v>6.2012999999999998</v>
      </c>
      <c r="AG29" s="817">
        <v>53.698300000000003</v>
      </c>
      <c r="AH29" s="775">
        <v>18.666699999999999</v>
      </c>
      <c r="AI29" s="775" t="str">
        <f t="shared" ca="1" si="18"/>
        <v/>
      </c>
      <c r="AJ29" s="775" t="str">
        <f t="shared" ca="1" si="19"/>
        <v/>
      </c>
      <c r="AK29" s="805" t="str">
        <f t="shared" ca="1" si="20"/>
        <v/>
      </c>
      <c r="AL29" s="812" t="str">
        <f t="shared" ca="1" si="21"/>
        <v/>
      </c>
      <c r="AM29" s="812" t="str">
        <f t="shared" si="22"/>
        <v/>
      </c>
      <c r="AN29" s="805" t="str">
        <f t="shared" ca="1" si="23"/>
        <v/>
      </c>
      <c r="AO29" s="805" t="str">
        <f t="shared" ca="1" si="24"/>
        <v/>
      </c>
      <c r="AP29" s="805" t="str">
        <f t="shared" ca="1" si="25"/>
        <v/>
      </c>
      <c r="AQ29" s="805" t="str">
        <f t="shared" ca="1" si="26"/>
        <v/>
      </c>
      <c r="AR29" s="805" t="str">
        <f t="shared" ca="1" si="27"/>
        <v/>
      </c>
      <c r="AS29" s="784" t="str">
        <f t="shared" ca="1" si="28"/>
        <v/>
      </c>
      <c r="AU29" s="416">
        <v>761.38329999999996</v>
      </c>
      <c r="AV29" s="51">
        <v>3.0545</v>
      </c>
      <c r="AW29" s="53">
        <v>57.51623</v>
      </c>
      <c r="AX29" s="818" t="str">
        <f t="shared" ca="1" si="29"/>
        <v/>
      </c>
      <c r="AY29" s="175">
        <v>53.698300000000003</v>
      </c>
      <c r="AZ29" s="47" t="s">
        <v>760</v>
      </c>
      <c r="BA29" s="47" t="s">
        <v>761</v>
      </c>
      <c r="BB29" s="464">
        <f t="shared" si="30"/>
        <v>44926</v>
      </c>
      <c r="BC29" s="832">
        <v>79.311400000000006</v>
      </c>
      <c r="BD29" s="820">
        <f t="shared" si="31"/>
        <v>85.526200000000003</v>
      </c>
      <c r="BE29" s="8"/>
      <c r="BF29" s="8">
        <f t="shared" si="32"/>
        <v>275.49</v>
      </c>
      <c r="BG29" s="8">
        <f t="shared" si="33"/>
        <v>275.49</v>
      </c>
      <c r="BH29" s="821">
        <v>1.6339999999999999</v>
      </c>
      <c r="BI29" s="821">
        <v>12.202999999999999</v>
      </c>
      <c r="BJ29" s="821">
        <f t="shared" si="34"/>
        <v>0</v>
      </c>
      <c r="BK29" s="3" t="e">
        <f t="shared" ca="1" si="35"/>
        <v>#NAME?</v>
      </c>
      <c r="BL29" s="3" t="e">
        <f t="shared" ca="1" si="36"/>
        <v>#NAME?</v>
      </c>
      <c r="BM29" s="822" t="str">
        <f t="shared" ca="1" si="37"/>
        <v/>
      </c>
      <c r="BN29" s="327" t="e">
        <f t="shared" ca="1" si="38"/>
        <v>#NAME?</v>
      </c>
      <c r="BO29" s="8">
        <f t="shared" si="39"/>
        <v>348.50799999999998</v>
      </c>
      <c r="BP29" s="8">
        <f t="shared" si="40"/>
        <v>671.68600000000004</v>
      </c>
      <c r="BQ29" s="8">
        <v>0</v>
      </c>
      <c r="BR29" s="8">
        <f t="shared" si="41"/>
        <v>0</v>
      </c>
      <c r="BS29" s="368" t="e">
        <f t="shared" ca="1" si="42"/>
        <v>#NAME?</v>
      </c>
      <c r="BT29" s="25"/>
      <c r="BU29" s="25"/>
      <c r="BV29" s="8">
        <f t="shared" si="43"/>
        <v>0</v>
      </c>
      <c r="BW29" s="8">
        <f t="shared" si="44"/>
        <v>317.108</v>
      </c>
      <c r="BX29" s="8">
        <f t="shared" si="45"/>
        <v>317.108</v>
      </c>
      <c r="BY29" s="822" t="str">
        <f t="shared" ca="1" si="46"/>
        <v/>
      </c>
      <c r="BZ29" s="327" t="e">
        <f t="shared" ca="1" si="47"/>
        <v>#NAME?</v>
      </c>
      <c r="CA29" s="8">
        <f t="shared" si="48"/>
        <v>0</v>
      </c>
      <c r="CB29" s="8">
        <f t="shared" si="49"/>
        <v>240.64699999999999</v>
      </c>
      <c r="CC29" s="713">
        <f t="shared" si="50"/>
        <v>0</v>
      </c>
      <c r="CD29" s="8">
        <f t="shared" si="51"/>
        <v>317.108</v>
      </c>
      <c r="CE29" s="822" t="str">
        <f t="shared" ca="1" si="52"/>
        <v/>
      </c>
      <c r="CF29" s="364"/>
      <c r="CG29" s="747"/>
      <c r="CH29" s="5" t="s">
        <v>499</v>
      </c>
      <c r="CI29" s="5" t="s">
        <v>2</v>
      </c>
      <c r="CJ29" s="747"/>
      <c r="CK29" s="178"/>
      <c r="CL29" s="327" t="e">
        <f t="array" aca="1" ref="CL29" ca="1">_xll.BDP($BD$1,CL$15,"fund per=A","eqy fund year",YEAR($BB29))/$BG$4</f>
        <v>#NAME?</v>
      </c>
      <c r="CM29" s="8" t="e">
        <f t="shared" ca="1" si="53"/>
        <v>#NAME?</v>
      </c>
      <c r="CN29" s="8" t="e">
        <f t="array" aca="1" ref="CN29" ca="1">_xll.BDP($BD$1,CN$15,"fund per=A","eqy fund year",YEAR($BB29))/$BG$4</f>
        <v>#NAME?</v>
      </c>
      <c r="CO29" s="8" t="e">
        <f t="shared" ca="1" si="54"/>
        <v>#NAME?</v>
      </c>
      <c r="CP29" s="8" t="e">
        <f t="shared" ca="1" si="55"/>
        <v>#NAME?</v>
      </c>
      <c r="CQ29" s="822" t="str">
        <f t="shared" ca="1" si="56"/>
        <v/>
      </c>
      <c r="CR29" s="380">
        <f t="shared" si="57"/>
        <v>53.698300000000003</v>
      </c>
      <c r="CS29" s="821" t="str">
        <f t="shared" ca="1" si="58"/>
        <v/>
      </c>
      <c r="CT29" s="823" t="e">
        <f t="shared" ca="1" si="59"/>
        <v>#VALUE!</v>
      </c>
      <c r="CU29" s="821" t="str">
        <f t="shared" ca="1" si="69"/>
        <v/>
      </c>
      <c r="CV29" s="822" t="e">
        <f t="shared" ca="1" si="60"/>
        <v>#VALUE!</v>
      </c>
      <c r="CW29" s="820" t="e">
        <f t="array" aca="1" ref="CW29" ca="1">_xll.BDP($BD$1,CW$15,"fund per=A","eqy fund year",YEAR($BB29))/$BG$4</f>
        <v>#NAME?</v>
      </c>
      <c r="CX29" s="821"/>
      <c r="CY29" s="821"/>
      <c r="CZ29" s="821"/>
      <c r="DA29" s="821"/>
      <c r="DB29" s="833" t="str">
        <f t="shared" ca="1" si="61"/>
        <v/>
      </c>
      <c r="DC29" s="820" t="e">
        <f t="array" aca="1" ref="DC29" ca="1">_xll.BDP($BD$1,DC$15,"fund per=A","eqy fund year",YEAR($BB29))/$BG$4</f>
        <v>#NAME?</v>
      </c>
      <c r="DD29" s="8"/>
      <c r="DE29" s="8"/>
      <c r="DF29" s="8">
        <v>294.10000000000002</v>
      </c>
      <c r="DG29" s="8">
        <v>294.10000000000002</v>
      </c>
      <c r="DH29" s="821" t="str">
        <f t="shared" si="66"/>
        <v/>
      </c>
      <c r="DI29" s="828">
        <f t="shared" ca="1" si="62"/>
        <v>294.10000000000002</v>
      </c>
      <c r="DJ29" s="380" t="e">
        <f t="array" aca="1" ref="DJ29" ca="1">_xll.BDP($BD$1,DJ$15,"fund per=A","eqy fund year",YEAR($BB29))/1</f>
        <v>#NAME?</v>
      </c>
      <c r="DK29" s="2"/>
      <c r="DL29" s="2"/>
      <c r="DM29" s="162"/>
      <c r="DN29" s="388" t="str">
        <f t="shared" ca="1" si="63"/>
        <v/>
      </c>
      <c r="DO29" s="820">
        <v>78.487899999999996</v>
      </c>
      <c r="DP29" s="821"/>
      <c r="DQ29" s="821">
        <v>81.147000000000006</v>
      </c>
      <c r="DR29" s="833">
        <f t="shared" si="64"/>
        <v>78.487899999999996</v>
      </c>
      <c r="DS29" s="820">
        <v>0</v>
      </c>
      <c r="DT29" s="833">
        <v>0</v>
      </c>
      <c r="DU29" s="820"/>
      <c r="DV29" s="833"/>
      <c r="DX29" t="s">
        <v>762</v>
      </c>
      <c r="DY29" s="2" t="s">
        <v>442</v>
      </c>
      <c r="DZ29" s="695">
        <v>0.25</v>
      </c>
      <c r="EA29" s="531">
        <f t="shared" si="67"/>
        <v>8.4603343193794647</v>
      </c>
      <c r="EB29" s="531">
        <f t="shared" si="68"/>
        <v>-4.5164516870485514</v>
      </c>
    </row>
    <row r="30" spans="1:132" ht="16" customHeight="1" thickBot="1">
      <c r="A30" s="831">
        <v>45291</v>
      </c>
      <c r="B30" s="810">
        <v>578.86199999999997</v>
      </c>
      <c r="C30" s="775">
        <v>64.918400000000005</v>
      </c>
      <c r="D30" s="811">
        <v>28.054400000000001</v>
      </c>
      <c r="E30" s="775">
        <v>13.395200000000001</v>
      </c>
      <c r="F30" s="687">
        <v>239.124</v>
      </c>
      <c r="G30" s="812">
        <f t="shared" si="2"/>
        <v>41.309327611762392</v>
      </c>
      <c r="H30" s="74">
        <v>213.392</v>
      </c>
      <c r="I30" s="813">
        <f t="shared" si="65"/>
        <v>36.864053954137603</v>
      </c>
      <c r="J30" s="687">
        <v>-0.59599999999999997</v>
      </c>
      <c r="K30" s="687">
        <f t="shared" si="3"/>
        <v>6.299000000000003</v>
      </c>
      <c r="L30" s="687">
        <v>207.68899999999999</v>
      </c>
      <c r="M30" s="775">
        <f t="shared" si="4"/>
        <v>35.878845044241977</v>
      </c>
      <c r="N30" s="197">
        <f t="shared" si="5"/>
        <v>0.14735975424793804</v>
      </c>
      <c r="O30" s="687">
        <v>177.084</v>
      </c>
      <c r="P30" s="775">
        <f t="shared" si="6"/>
        <v>30.591747255822632</v>
      </c>
      <c r="Q30" s="805">
        <f t="shared" si="7"/>
        <v>0</v>
      </c>
      <c r="R30" s="74">
        <v>177.084</v>
      </c>
      <c r="S30" s="812">
        <f t="shared" si="8"/>
        <v>82.800299999999993</v>
      </c>
      <c r="T30" s="814">
        <f t="shared" si="9"/>
        <v>2.23</v>
      </c>
      <c r="U30" s="74" t="str">
        <f t="shared" ca="1" si="10"/>
        <v/>
      </c>
      <c r="V30" s="775" t="str">
        <f t="shared" ca="1" si="11"/>
        <v/>
      </c>
      <c r="W30" s="687">
        <f t="shared" ca="1" si="12"/>
        <v>213.4</v>
      </c>
      <c r="X30" s="699" t="str">
        <f t="shared" ca="1" si="13"/>
        <v/>
      </c>
      <c r="Y30" s="815">
        <f t="shared" si="14"/>
        <v>3.3007867160048514</v>
      </c>
      <c r="Z30" s="775">
        <f t="shared" si="15"/>
        <v>0.192</v>
      </c>
      <c r="AA30" s="688" t="e">
        <f t="array" aca="1" ref="AA30" ca="1">_xll.BDP($BD$1,AA$15,"fund per=A","eqy fund year",YEAR($BB30))/$BG$4</f>
        <v>#NAME?</v>
      </c>
      <c r="AB30" s="837" t="str">
        <f t="shared" ca="1" si="16"/>
        <v/>
      </c>
      <c r="AC30" s="715" t="e">
        <f t="array" aca="1" ref="AC30" ca="1">_xll.BDP($BD$1,AC$15,"fund per=A","eqy fund year",YEAR($BB30))</f>
        <v>#NAME?</v>
      </c>
      <c r="AD30" s="180">
        <f t="shared" si="17"/>
        <v>1.2780269058295965</v>
      </c>
      <c r="AE30" s="816">
        <v>2.85</v>
      </c>
      <c r="AF30" s="784">
        <v>2.1236999999999999</v>
      </c>
      <c r="AG30" s="817">
        <v>134.2002</v>
      </c>
      <c r="AH30" s="775">
        <v>59.846499999999999</v>
      </c>
      <c r="AI30" s="775" t="str">
        <f t="shared" ca="1" si="18"/>
        <v/>
      </c>
      <c r="AJ30" s="775" t="str">
        <f t="shared" ca="1" si="19"/>
        <v/>
      </c>
      <c r="AK30" s="805" t="str">
        <f t="shared" ca="1" si="20"/>
        <v/>
      </c>
      <c r="AL30" s="812" t="str">
        <f t="shared" ca="1" si="21"/>
        <v/>
      </c>
      <c r="AM30" s="812" t="str">
        <f t="shared" si="22"/>
        <v/>
      </c>
      <c r="AN30" s="805" t="str">
        <f t="shared" ca="1" si="23"/>
        <v/>
      </c>
      <c r="AO30" s="797" t="str">
        <f t="shared" ca="1" si="24"/>
        <v/>
      </c>
      <c r="AP30" s="805" t="str">
        <f t="shared" ca="1" si="25"/>
        <v/>
      </c>
      <c r="AQ30" s="805" t="str">
        <f t="shared" ca="1" si="26"/>
        <v/>
      </c>
      <c r="AR30" s="805" t="str">
        <f t="shared" ca="1" si="27"/>
        <v/>
      </c>
      <c r="AS30" s="784" t="str">
        <f t="shared" ca="1" si="28"/>
        <v/>
      </c>
      <c r="AU30" s="416">
        <v>626.05629999999996</v>
      </c>
      <c r="AV30" s="51">
        <v>2.4117999999999999</v>
      </c>
      <c r="AW30" s="53">
        <v>148.47910999999999</v>
      </c>
      <c r="AX30" s="818" t="str">
        <f t="shared" ca="1" si="29"/>
        <v/>
      </c>
      <c r="AY30" s="176">
        <v>134.2002</v>
      </c>
      <c r="AZ30" s="174" t="s">
        <v>763</v>
      </c>
      <c r="BA30" s="59" t="s">
        <v>763</v>
      </c>
      <c r="BB30" s="464">
        <f t="shared" si="30"/>
        <v>45291</v>
      </c>
      <c r="BC30" s="832">
        <v>77.508700000000005</v>
      </c>
      <c r="BD30" s="838">
        <f t="shared" si="31"/>
        <v>82.800299999999993</v>
      </c>
      <c r="BE30" s="16"/>
      <c r="BF30" s="16">
        <f t="shared" si="32"/>
        <v>207.68899999999999</v>
      </c>
      <c r="BG30" s="16">
        <f t="shared" si="33"/>
        <v>207.68899999999999</v>
      </c>
      <c r="BH30" s="836">
        <v>12.26</v>
      </c>
      <c r="BI30" s="836">
        <v>11.664</v>
      </c>
      <c r="BJ30" s="836">
        <f t="shared" si="34"/>
        <v>0</v>
      </c>
      <c r="BK30" s="6" t="e">
        <f t="shared" ca="1" si="35"/>
        <v>#NAME?</v>
      </c>
      <c r="BL30" s="6" t="e">
        <f t="shared" ca="1" si="36"/>
        <v>#NAME?</v>
      </c>
      <c r="BM30" s="839" t="str">
        <f t="shared" ca="1" si="37"/>
        <v/>
      </c>
      <c r="BN30" s="329" t="e">
        <f t="shared" ca="1" si="38"/>
        <v>#NAME?</v>
      </c>
      <c r="BO30" s="16">
        <f t="shared" si="39"/>
        <v>324.48699999999997</v>
      </c>
      <c r="BP30" s="16">
        <f t="shared" si="40"/>
        <v>413.47699999999998</v>
      </c>
      <c r="BQ30" s="16">
        <v>0</v>
      </c>
      <c r="BR30" s="16">
        <f t="shared" si="41"/>
        <v>0</v>
      </c>
      <c r="BS30" s="369" t="e">
        <f t="shared" ca="1" si="42"/>
        <v>#NAME?</v>
      </c>
      <c r="BT30" s="26"/>
      <c r="BU30" s="26"/>
      <c r="BV30" s="16">
        <f t="shared" si="43"/>
        <v>0</v>
      </c>
      <c r="BW30" s="16">
        <f t="shared" si="44"/>
        <v>239.124</v>
      </c>
      <c r="BX30" s="16">
        <f t="shared" si="45"/>
        <v>239.124</v>
      </c>
      <c r="BY30" s="839" t="str">
        <f t="shared" ca="1" si="46"/>
        <v/>
      </c>
      <c r="BZ30" s="329" t="e">
        <f t="shared" ca="1" si="47"/>
        <v>#NAME?</v>
      </c>
      <c r="CA30" s="16">
        <f t="shared" si="48"/>
        <v>0</v>
      </c>
      <c r="CB30" s="16">
        <f t="shared" si="49"/>
        <v>177.084</v>
      </c>
      <c r="CC30" s="716">
        <f t="shared" si="50"/>
        <v>0</v>
      </c>
      <c r="CD30" s="16">
        <f t="shared" si="51"/>
        <v>239.124</v>
      </c>
      <c r="CE30" s="839" t="str">
        <f t="shared" ca="1" si="52"/>
        <v/>
      </c>
      <c r="CF30" s="338" t="s">
        <v>593</v>
      </c>
      <c r="CH30" s="821" t="e">
        <f t="array" aca="1" ref="CH30" ca="1">IF($CG$17="S","",_xll.BDP($BD$1,"ud gp ev adj","eqy fund per",RIGHT(CG21,2),"eqy fund year",LEFT(CG21,4))/$BG$4)</f>
        <v>#NAME?</v>
      </c>
      <c r="CI30" s="821" t="e">
        <f t="array" aca="1" ref="CI30" ca="1">IF($CG$17="Q","",_xll.BDP($BD$1,"ud gp ev adj","eqy fund per",RIGHT(CG21,2),"eqy fund year",LEFT(CG21,4))/$BG$4)</f>
        <v>#NAME?</v>
      </c>
      <c r="CK30" s="765"/>
      <c r="CL30" s="329" t="e">
        <f t="array" aca="1" ref="CL30" ca="1">_xll.BDP($BD$1,CL$15,"fund per=A","eqy fund year",YEAR($BB30))/$BG$4</f>
        <v>#NAME?</v>
      </c>
      <c r="CM30" s="16" t="e">
        <f t="shared" ca="1" si="53"/>
        <v>#NAME?</v>
      </c>
      <c r="CN30" s="16" t="e">
        <f t="array" aca="1" ref="CN30" ca="1">_xll.BDP($BD$1,CN$15,"fund per=A","eqy fund year",YEAR($BB30))/$BG$4</f>
        <v>#NAME?</v>
      </c>
      <c r="CO30" s="16" t="e">
        <f t="shared" ca="1" si="54"/>
        <v>#NAME?</v>
      </c>
      <c r="CP30" s="16" t="e">
        <f t="shared" ca="1" si="55"/>
        <v>#NAME?</v>
      </c>
      <c r="CQ30" s="839" t="str">
        <f t="shared" ca="1" si="56"/>
        <v/>
      </c>
      <c r="CR30" s="380">
        <f t="shared" si="57"/>
        <v>134.2002</v>
      </c>
      <c r="CS30" s="821" t="str">
        <f t="shared" ca="1" si="58"/>
        <v/>
      </c>
      <c r="CT30" s="823" t="e">
        <f t="shared" ca="1" si="59"/>
        <v>#VALUE!</v>
      </c>
      <c r="CU30" s="821" t="str">
        <f t="shared" ca="1" si="69"/>
        <v/>
      </c>
      <c r="CV30" s="822" t="e">
        <f t="shared" ca="1" si="60"/>
        <v>#VALUE!</v>
      </c>
      <c r="CW30" s="838" t="e">
        <f t="array" aca="1" ref="CW30" ca="1">_xll.BDP($BD$1,CW$15,"fund per=A","eqy fund year",YEAR($BB30))/$BG$4</f>
        <v>#NAME?</v>
      </c>
      <c r="CX30" s="836"/>
      <c r="CY30" s="836"/>
      <c r="CZ30" s="836"/>
      <c r="DA30" s="836"/>
      <c r="DB30" s="840" t="str">
        <f t="shared" ca="1" si="61"/>
        <v/>
      </c>
      <c r="DC30" s="838" t="e">
        <f t="array" aca="1" ref="DC30" ca="1">_xll.BDP($BD$1,DC$15,"fund per=A","eqy fund year",YEAR($BB30))/$BG$4</f>
        <v>#NAME?</v>
      </c>
      <c r="DD30" s="16"/>
      <c r="DE30" s="16"/>
      <c r="DF30" s="16">
        <v>213.4</v>
      </c>
      <c r="DG30" s="16">
        <v>213.4</v>
      </c>
      <c r="DH30" s="836" t="str">
        <f t="shared" si="66"/>
        <v/>
      </c>
      <c r="DI30" s="828">
        <f t="shared" ca="1" si="62"/>
        <v>213.4</v>
      </c>
      <c r="DJ30" s="389" t="e">
        <f t="array" aca="1" ref="DJ30" ca="1">_xll.BDP($BD$1,DJ$15,"fund per=A","eqy fund year",YEAR($BB30))/1</f>
        <v>#NAME?</v>
      </c>
      <c r="DK30" s="4"/>
      <c r="DL30" s="4"/>
      <c r="DM30" s="188"/>
      <c r="DN30" s="378" t="str">
        <f t="shared" ca="1" si="63"/>
        <v/>
      </c>
      <c r="DO30" s="838">
        <v>77.015799999999999</v>
      </c>
      <c r="DP30" s="836"/>
      <c r="DQ30" s="836">
        <v>81.147000000000006</v>
      </c>
      <c r="DR30" s="840">
        <f t="shared" si="64"/>
        <v>77.015799999999999</v>
      </c>
      <c r="DS30" s="838">
        <v>0</v>
      </c>
      <c r="DT30" s="840">
        <v>0</v>
      </c>
      <c r="DU30" s="838"/>
      <c r="DV30" s="840"/>
      <c r="DX30" t="s">
        <v>764</v>
      </c>
      <c r="DY30" s="2" t="s">
        <v>765</v>
      </c>
      <c r="DZ30" s="695">
        <v>0.08</v>
      </c>
      <c r="EA30" s="531">
        <f t="shared" si="67"/>
        <v>6.8778475165823556</v>
      </c>
      <c r="EB30" s="531">
        <f t="shared" si="68"/>
        <v>-18.7047785945317</v>
      </c>
    </row>
    <row r="31" spans="1:132" ht="16" customHeight="1" thickBot="1">
      <c r="A31" s="80" t="s">
        <v>766</v>
      </c>
      <c r="B31" s="841" t="e">
        <f t="array" aca="1" ref="B31" ca="1">_xll.BDP($BD$1,"trail 12m net sales","scaling format",$BI$8)</f>
        <v>#NAME?</v>
      </c>
      <c r="C31" s="842" t="e">
        <f t="array" aca="1" ref="C31" ca="1">_xll.BDP($BD$1,"trail 12m gross margin")</f>
        <v>#NAME?</v>
      </c>
      <c r="D31" s="843"/>
      <c r="E31" s="804"/>
      <c r="F31" s="76" t="e">
        <f t="array" aca="1" ref="F31" ca="1">_xll.BDP($BD$1,"trail 12m ebitda",,"scaling format",$BI$8)</f>
        <v>#NAME?</v>
      </c>
      <c r="G31" s="844" t="str">
        <f t="shared" ca="1" si="2"/>
        <v/>
      </c>
      <c r="H31" s="81" t="e">
        <f t="array" aca="1" ref="H31" ca="1">_xll.BDP($BD$1,"trail 12m oper inc","scaling format",$BI$8)</f>
        <v>#NAME?</v>
      </c>
      <c r="I31" s="845" t="str">
        <f t="shared" ref="I31:I36" ca="1" si="70">IFERROR(H31/$B31*100,"")</f>
        <v/>
      </c>
      <c r="J31" s="76" t="str">
        <f ca="1">IF(AND(ISNUMBER(BH31),ISNUMBER(BI31)),BI31-BH31,"")</f>
        <v/>
      </c>
      <c r="K31" s="82" t="str">
        <f ca="1">IFERROR(H31-L31,"")</f>
        <v/>
      </c>
      <c r="L31" s="76" t="e">
        <f t="array" aca="1" ref="L31" ca="1">_xll.BDP($BD$1,"trail 12m pretax inc","scaling format",$BI$8)</f>
        <v>#NAME?</v>
      </c>
      <c r="M31" s="846" t="str">
        <f t="shared" ca="1" si="4"/>
        <v/>
      </c>
      <c r="N31" s="198" t="str">
        <f t="shared" ca="1" si="5"/>
        <v/>
      </c>
      <c r="O31" s="76" t="e">
        <f t="array" aca="1" ref="O31" ca="1">_xll.BDP($BD$1,"trail 12m inc bef xo item","scaling format",$BI$8)</f>
        <v>#NAME?</v>
      </c>
      <c r="P31" s="846" t="str">
        <f t="shared" ca="1" si="6"/>
        <v/>
      </c>
      <c r="Q31" s="842" t="str">
        <f t="shared" ca="1" si="7"/>
        <v/>
      </c>
      <c r="R31" s="81" t="e">
        <f t="array" aca="1" ref="R31" ca="1">_xll.BDP($BD$1,"trail 12m net inc avai com share","scaling format",$BI$8)</f>
        <v>#NAME?</v>
      </c>
      <c r="S31" s="847" t="e">
        <f t="shared" ca="1" si="8"/>
        <v>#NAME?</v>
      </c>
      <c r="T31" s="848" t="str">
        <f t="shared" ca="1" si="9"/>
        <v/>
      </c>
      <c r="U31" s="81" t="str">
        <f t="shared" ca="1" si="10"/>
        <v/>
      </c>
      <c r="V31" s="846" t="str">
        <f t="shared" ca="1" si="11"/>
        <v/>
      </c>
      <c r="W31" s="185">
        <f t="shared" ca="1" si="12"/>
        <v>0</v>
      </c>
      <c r="X31" s="696" t="str">
        <f t="shared" ca="1" si="13"/>
        <v/>
      </c>
      <c r="Y31" s="170"/>
      <c r="Z31" s="745"/>
      <c r="AA31" s="82" t="str">
        <f ca="1">CI28</f>
        <v/>
      </c>
      <c r="AB31" s="849" t="str">
        <f t="shared" ca="1" si="16"/>
        <v/>
      </c>
      <c r="AC31" s="717" t="str">
        <f ca="1">IF(AND(ISNUMBER(DM39),ISNUMBER(DM40),ISNUMBER(DM41),ISNUMBER(DM42)),SUM(DM39:DM42),IF(AND(ISNUMBER(DN39),ISNUMBER(DN40)),SUM(DN39:DN40),""))</f>
        <v/>
      </c>
      <c r="AD31" s="196">
        <f t="shared" ca="1" si="17"/>
        <v>0</v>
      </c>
      <c r="AE31" s="850" t="str">
        <f ca="1">IF(ISNUMBER(BH33),BH33,IF(ISNUMBER(BH34),BH34,""))</f>
        <v/>
      </c>
      <c r="AF31" s="804" t="str">
        <f ca="1">IFERROR(AE31/AY31*100,"")</f>
        <v/>
      </c>
      <c r="AG31" s="851" t="e">
        <f t="array" aca="1" ref="AG31" ca="1">_xll.BDP(BD1,AG15)</f>
        <v>#NAME?</v>
      </c>
      <c r="AH31" s="842" t="e">
        <f t="array" aca="1" ref="AH31" ca="1">_xll.BDP(BD1,"pe ratio")</f>
        <v>#NAME?</v>
      </c>
      <c r="AI31" s="842" t="str">
        <f t="shared" ca="1" si="18"/>
        <v/>
      </c>
      <c r="AJ31" s="842" t="str">
        <f t="shared" ca="1" si="19"/>
        <v/>
      </c>
      <c r="AK31" s="842" t="str">
        <f t="shared" ca="1" si="20"/>
        <v/>
      </c>
      <c r="AL31" s="847" t="str">
        <f t="shared" ca="1" si="21"/>
        <v/>
      </c>
      <c r="AM31" s="847" t="str">
        <f t="shared" ca="1" si="22"/>
        <v/>
      </c>
      <c r="AN31" s="804" t="str">
        <f t="shared" ca="1" si="23"/>
        <v/>
      </c>
      <c r="AO31" s="804" t="str">
        <f t="shared" ca="1" si="24"/>
        <v/>
      </c>
      <c r="AP31" s="804" t="str">
        <f t="shared" ca="1" si="25"/>
        <v/>
      </c>
      <c r="AQ31" s="804" t="e">
        <f t="shared" ca="1" si="26"/>
        <v>#NAME?</v>
      </c>
      <c r="AR31" s="804" t="e">
        <f t="array" aca="1" ref="AR31" ca="1">IF(ISNUMBER(CT31),CT31,_xll.BDP(BD1,"px to book ratio"))</f>
        <v>#NAME?</v>
      </c>
      <c r="AS31" s="852" t="str">
        <f t="shared" ca="1" si="28"/>
        <v/>
      </c>
      <c r="AU31" s="415"/>
      <c r="AV31" s="55"/>
      <c r="AW31" s="50"/>
      <c r="AX31" s="853" t="str">
        <f t="shared" ca="1" si="29"/>
        <v/>
      </c>
      <c r="AY31" s="56" t="e">
        <f t="array" aca="1" ref="AY31" ca="1">_xll.BDP(BD1,"crncy adj px last","eqy fund crncy",BJ4)</f>
        <v>#NAME?</v>
      </c>
      <c r="AZ31" s="170"/>
      <c r="BA31" s="746"/>
      <c r="BB31" s="465"/>
      <c r="BC31" s="819" t="e">
        <f t="array" aca="1" ref="BC31" ca="1">_xll.BDP($BD$1,BC15)</f>
        <v>#NAME?</v>
      </c>
      <c r="BD31" s="838" t="e">
        <f t="shared" ca="1" si="31"/>
        <v>#NAME?</v>
      </c>
      <c r="BE31" s="16"/>
      <c r="BF31" s="16" t="e">
        <f t="shared" ca="1" si="32"/>
        <v>#NAME?</v>
      </c>
      <c r="BG31" s="16" t="str">
        <f t="shared" ca="1" si="33"/>
        <v/>
      </c>
      <c r="BH31" s="836" t="e">
        <f t="array" aca="1" ref="BH31" ca="1">_xll.BDP($BD$1,"trail 12m int inc","scaling format",$BI$8)</f>
        <v>#NAME?</v>
      </c>
      <c r="BI31" s="836" t="e">
        <f t="array" aca="1" ref="BI31" ca="1">_xll.BDP($BD$1,"trail 12m int exp","scaling format",$BI$8)</f>
        <v>#NAME?</v>
      </c>
      <c r="BJ31" s="836" t="str">
        <f t="shared" ca="1" si="34"/>
        <v/>
      </c>
      <c r="BK31" s="6" t="str">
        <f t="shared" ca="1" si="35"/>
        <v/>
      </c>
      <c r="BL31" s="6" t="str">
        <f t="shared" ca="1" si="36"/>
        <v/>
      </c>
      <c r="BM31" s="839" t="str">
        <f t="shared" ca="1" si="37"/>
        <v/>
      </c>
      <c r="BN31" s="329" t="e">
        <f t="shared" ca="1" si="38"/>
        <v>#NAME?</v>
      </c>
      <c r="BO31" s="16" t="e">
        <f t="shared" ca="1" si="39"/>
        <v>#VALUE!</v>
      </c>
      <c r="BP31" s="16" t="e">
        <f t="shared" ca="1" si="40"/>
        <v>#VALUE!</v>
      </c>
      <c r="BQ31" s="16">
        <f t="array" aca="1" ref="BQ31" ca="1">IFERROR(_xll.BDP($BD$1,BQ15,"scaling format",$BI$8)*1,0)</f>
        <v>0</v>
      </c>
      <c r="BR31" s="16" t="str">
        <f t="shared" ca="1" si="41"/>
        <v/>
      </c>
      <c r="BS31" s="370" t="e">
        <f t="shared" ca="1" si="42"/>
        <v>#NAME?</v>
      </c>
      <c r="BT31" s="26"/>
      <c r="BU31" s="26"/>
      <c r="BV31" s="16">
        <f t="shared" si="43"/>
        <v>0</v>
      </c>
      <c r="BW31" s="16" t="e">
        <f t="shared" ca="1" si="44"/>
        <v>#NAME?</v>
      </c>
      <c r="BX31" s="16" t="e">
        <f t="shared" ca="1" si="45"/>
        <v>#NAME?</v>
      </c>
      <c r="BY31" s="839" t="str">
        <f t="shared" ca="1" si="46"/>
        <v/>
      </c>
      <c r="BZ31" s="331" t="e">
        <f t="shared" ca="1" si="47"/>
        <v>#NAME?</v>
      </c>
      <c r="CA31" s="332" t="str">
        <f t="shared" ca="1" si="48"/>
        <v/>
      </c>
      <c r="CB31" s="332" t="e">
        <f t="shared" ca="1" si="49"/>
        <v>#NAME?</v>
      </c>
      <c r="CC31" s="718" t="e">
        <f t="shared" ca="1" si="50"/>
        <v>#VALUE!</v>
      </c>
      <c r="CD31" s="332" t="e">
        <f t="shared" ca="1" si="51"/>
        <v>#NAME?</v>
      </c>
      <c r="CE31" s="854" t="str">
        <f t="shared" ca="1" si="52"/>
        <v/>
      </c>
      <c r="CF31" s="358" t="s">
        <v>630</v>
      </c>
      <c r="CG31" s="762"/>
      <c r="CH31" s="855" t="e">
        <f t="array" aca="1" ref="CH31" ca="1">IF($CG$17="S","",_xll.BDP($BD$1,"ud gp dil shares","eqy fund per",RIGHT(CG21,2),"eqy fund year",LEFT(CG21,4))/$BG$4)</f>
        <v>#NAME?</v>
      </c>
      <c r="CI31" s="855" t="e">
        <f t="array" aca="1" ref="CI31" ca="1">IF($CG$17="Q","",_xll.BDP($BD$1,"ud gp dil shares","eqy fund per",RIGHT(CG21,2),"eqy fund year",LEFT(CG21,4))/$BG$4)</f>
        <v>#NAME?</v>
      </c>
      <c r="CJ31" s="762"/>
      <c r="CK31" s="362"/>
      <c r="CL31" s="331" t="str">
        <f ca="1">IF(ISNUMBER(CH31),CH31,IF(ISNUMBER(CI31),CI31,""))</f>
        <v/>
      </c>
      <c r="CM31" s="332" t="e">
        <f t="shared" ca="1" si="53"/>
        <v>#VALUE!</v>
      </c>
      <c r="CN31" s="332" t="str">
        <f ca="1">IF(ISNUMBER(CH30),CH30,IF(ISNUMBER(CI30),CI30,""))</f>
        <v/>
      </c>
      <c r="CO31" s="332" t="e">
        <f t="shared" ca="1" si="54"/>
        <v>#VALUE!</v>
      </c>
      <c r="CP31" s="332" t="str">
        <f ca="1">CI28</f>
        <v/>
      </c>
      <c r="CQ31" s="854" t="str">
        <f t="shared" ca="1" si="56"/>
        <v/>
      </c>
      <c r="CR31" s="381" t="str">
        <f t="shared" ca="1" si="57"/>
        <v/>
      </c>
      <c r="CS31" s="856" t="str">
        <f t="shared" ca="1" si="58"/>
        <v/>
      </c>
      <c r="CT31" s="857" t="e">
        <f t="shared" ca="1" si="59"/>
        <v>#VALUE!</v>
      </c>
      <c r="CU31" s="856" t="str">
        <f t="shared" ca="1" si="69"/>
        <v/>
      </c>
      <c r="CV31" s="858" t="e">
        <f t="shared" ca="1" si="60"/>
        <v>#VALUE!</v>
      </c>
      <c r="CW31" s="859" t="str">
        <f ca="1">IF(AND(ISNUMBER(DA33),ISNUMBER(DA34),ISNUMBER(DA35),ISNUMBER(DA36)),SUM(DA33:DA36),IF(AND(ISNUMBER(CZ33),ISNUMBER(CZ34)),SUM(CZ33:CZ34),""))</f>
        <v/>
      </c>
      <c r="CX31" s="860" t="e">
        <f t="array" aca="1" ref="CX31" ca="1">_xll.BDP($BD$1,"t12m as reported adjusted ebitda","scaling format",$BI$8)</f>
        <v>#NAME?</v>
      </c>
      <c r="CY31" s="860" t="e">
        <f t="array" aca="1" ref="CY31" ca="1">_xll.BDP($BD$1,"ardr t12m ebitda","scaling format",$BI$8)</f>
        <v>#NAME?</v>
      </c>
      <c r="CZ31" s="860"/>
      <c r="DA31" s="860" t="e">
        <f t="array" aca="1" ref="DA31" ca="1">_xll.BDP($BD$1,"t12m funds from operations","scaling format",$BI$8)</f>
        <v>#NAME?</v>
      </c>
      <c r="DB31" s="861" t="str">
        <f ca="1">IF($CW$12=1,CW31,IF($CX$12=1,CX31,IF($CY$12=1,CY31,IF($CZ$12=1,CZ31,IF($DA$12=1,DA31,"")))))</f>
        <v/>
      </c>
      <c r="DC31" s="859" t="str">
        <f ca="1">IF(AND(ISNUMBER(DD33),ISNUMBER(DD34),ISNUMBER(DD35),ISNUMBER(DD36)),SUM(DD33:DD36),IF(AND(ISNUMBER(DE33),ISNUMBER(DE34)),SUM(DE33:DE34),""))</f>
        <v/>
      </c>
      <c r="DD31" s="860" t="e">
        <f t="array" aca="1" ref="DD31" ca="1">_xll.BDP($BD$1,"trail 12m ebita")</f>
        <v>#NAME?</v>
      </c>
      <c r="DE31" s="745"/>
      <c r="DF31" s="184"/>
      <c r="DG31" s="745"/>
      <c r="DH31" s="860" t="e">
        <f ca="1">DA31</f>
        <v>#NAME?</v>
      </c>
      <c r="DI31" s="861">
        <f t="shared" ca="1" si="62"/>
        <v>0</v>
      </c>
      <c r="DJ31" s="390" t="str">
        <f ca="1">IF(AND(ISNUMBER(DK39),ISNUMBER(DK40),ISNUMBER(DK41),ISNUMBER(DK42)),SUM(DK39:DK42),IF(AND(ISNUMBER(DL39),ISNUMBER(DL40)),SUM(DL39:DL40),""))</f>
        <v/>
      </c>
      <c r="DK31" s="745"/>
      <c r="DL31" s="186" t="e">
        <f t="array" aca="1" ref="DL31" ca="1">_xll.BDP($BD$1,"trailing 12 months affops")</f>
        <v>#NAME?</v>
      </c>
      <c r="DM31" s="186" t="e">
        <f t="array" aca="1" ref="DM31" ca="1">_xll.BDP($BD$1,"trail 12m ffo sh")</f>
        <v>#NAME?</v>
      </c>
      <c r="DN31" s="391" t="str">
        <f t="shared" ca="1" si="63"/>
        <v/>
      </c>
      <c r="DO31" s="862" t="e">
        <f t="array" aca="1" ref="DO31" ca="1">_xll.BDP($BD$1,DO15)</f>
        <v>#NAME?</v>
      </c>
      <c r="DP31" s="856" t="e">
        <f t="array" aca="1" ref="DP31" ca="1">_xll.BDP($BD$1,DP15)</f>
        <v>#NAME?</v>
      </c>
      <c r="DQ31" s="856" t="e">
        <f t="array" aca="1" ref="DQ31" ca="1">_xll.BDP($BD$1,DQ15)</f>
        <v>#NAME?</v>
      </c>
      <c r="DR31" s="863" t="str">
        <f ca="1">IF(ISNUMBER(DP31),DP31,IF(ISNUMBER(DQ31),DQ31,IF(ISNUMBER(DO31),DO31,"")))</f>
        <v/>
      </c>
      <c r="DS31" s="864" t="e">
        <f t="array" aca="1" ref="DS31" ca="1">_xll.BDP($BD$1,"trail 12m minority int","scaling format",$BI$8)</f>
        <v>#NAME?</v>
      </c>
      <c r="DT31" s="865" t="e">
        <f t="array" aca="1" ref="DT31" ca="1">_xll.BDP($BD$1,"trail 12m pfd dvd","scaling format",$BI$8)</f>
        <v>#NAME?</v>
      </c>
      <c r="DU31" s="864"/>
      <c r="DV31" s="865"/>
      <c r="DX31" t="s">
        <v>767</v>
      </c>
      <c r="DY31" s="2" t="s">
        <v>768</v>
      </c>
      <c r="DZ31" s="695">
        <v>0.1</v>
      </c>
    </row>
    <row r="32" spans="1:132" ht="16" customHeight="1">
      <c r="A32" s="681" t="s">
        <v>524</v>
      </c>
      <c r="B32" s="841" t="e">
        <f t="array" aca="1" ref="B32" ca="1">_xll.BDP($BD$1,"ud gp est sales v2","be997",RIGHT($BB32,4)&amp;"Y")/$BG$4</f>
        <v>#NAME?</v>
      </c>
      <c r="C32" s="85"/>
      <c r="D32" s="85"/>
      <c r="E32" s="687" t="s">
        <v>463</v>
      </c>
      <c r="F32" s="155" t="e">
        <f ca="1">H104</f>
        <v>#NAME?</v>
      </c>
      <c r="G32" s="866" t="str">
        <f ca="1">IFERROR(F32/$D104*100,"")</f>
        <v/>
      </c>
      <c r="H32" s="81" t="e">
        <f t="array" aca="1" ref="H32" ca="1">_xll.BDP($BD$1,"ud gp est ebit1","eqy fund per=A","eqy fund year",RIGHT($BB$32,4))/$BG$4</f>
        <v>#NAME?</v>
      </c>
      <c r="I32" s="781" t="str">
        <f t="shared" ca="1" si="70"/>
        <v/>
      </c>
      <c r="J32" s="190"/>
      <c r="K32" s="191"/>
      <c r="L32" s="85"/>
      <c r="M32" s="85"/>
      <c r="N32" s="687"/>
      <c r="O32" s="85"/>
      <c r="P32" s="842"/>
      <c r="Q32" s="85"/>
      <c r="R32" s="81" t="e">
        <f t="array" aca="1" ref="R32" ca="1">_xll.BDP($BD$1,"ud gp est ni gaap","eqy fund per=A","eqy fund year",RIGHT($BB$32,4))/$BG$4</f>
        <v>#NAME?</v>
      </c>
      <c r="S32" s="844" t="e">
        <f t="array" aca="1" ref="S32" ca="1">_xll.BDP($BD$1,"ud gp est dil shrs","eqy fund per=A","eqy fund year",RIGHT($BB$32,4))/$BJ$10</f>
        <v>#NAME?</v>
      </c>
      <c r="T32" s="848" t="e">
        <f t="array" aca="1" ref="T32" ca="1">_xll.BDP($BD$1,"ud gp est gaap eps","eqy fund per=A","eqy fund year",RIGHT($BB$32,4))</f>
        <v>#NAME?</v>
      </c>
      <c r="U32" s="81" t="str">
        <f t="shared" ca="1" si="10"/>
        <v/>
      </c>
      <c r="V32" s="842" t="str">
        <f ca="1">IFERROR(U32/C104*100,"")</f>
        <v/>
      </c>
      <c r="W32" s="687" t="e">
        <f t="shared" ca="1" si="12"/>
        <v>#NAME?</v>
      </c>
      <c r="X32" s="696" t="str">
        <f t="shared" ca="1" si="13"/>
        <v/>
      </c>
      <c r="Y32" s="43"/>
      <c r="Z32" s="747"/>
      <c r="AA32" s="76" t="e">
        <f t="array" aca="1" ref="AA32" ca="1">_xll.BDP($BD$1,"ud gp est ebit3","eqy fund per=A","eqy fund year",RIGHT($BB$32,4))/$BG$4</f>
        <v>#NAME?</v>
      </c>
      <c r="AB32" s="842" t="str">
        <f t="shared" ca="1" si="16"/>
        <v/>
      </c>
      <c r="AC32" s="714" t="e">
        <f t="array" aca="1" ref="AC32" ca="1">_xll.BDP($BD$1,"ud gp est eps v2","be997",RIGHT($BB32,4)&amp;"Y")*1</f>
        <v>#NAME?</v>
      </c>
      <c r="AD32" s="180" t="e">
        <f ca="1">AE32/AC32</f>
        <v>#NAME?</v>
      </c>
      <c r="AE32" s="816" t="e">
        <f t="array" aca="1" ref="AE32" ca="1">_xll.BDP($BD$1,"ud gp est dps","eqy fund per=A","eqy fund year",RIGHT($BB$32,4))</f>
        <v>#NAME?</v>
      </c>
      <c r="AF32" s="784" t="e">
        <f ca="1">AE32/AY32*100</f>
        <v>#NAME?</v>
      </c>
      <c r="AG32" s="817" t="e">
        <f ca="1">BA32</f>
        <v>#NAME?</v>
      </c>
      <c r="AH32" s="846" t="e">
        <f ca="1">AY32/T32</f>
        <v>#NAME?</v>
      </c>
      <c r="AI32" s="846" t="e">
        <f ca="1">AY32/X32</f>
        <v>#NAME?</v>
      </c>
      <c r="AJ32" s="846" t="e">
        <f ca="1">AY32/AC32</f>
        <v>#NAME?</v>
      </c>
      <c r="AK32" s="689" t="s">
        <v>769</v>
      </c>
      <c r="AL32" s="844" t="str">
        <f ca="1">IFERROR(BS32/F32,"")</f>
        <v/>
      </c>
      <c r="AM32" s="689" t="s">
        <v>769</v>
      </c>
      <c r="AN32" s="842" t="str">
        <f t="shared" ca="1" si="23"/>
        <v/>
      </c>
      <c r="AO32" s="842" t="str">
        <f ca="1">IFERROR(BS32/AA32,"")</f>
        <v/>
      </c>
      <c r="AP32" s="689" t="s">
        <v>769</v>
      </c>
      <c r="AQ32" s="842" t="str">
        <f ca="1">IFERROR(BS32/B32,"")</f>
        <v/>
      </c>
      <c r="AR32" s="842" t="str">
        <f ca="1">IFERROR(AY32/BX32,"")</f>
        <v/>
      </c>
      <c r="AS32" s="781" t="str">
        <f ca="1">IFERROR(BV32/BS32*100,"")</f>
        <v/>
      </c>
      <c r="AU32" s="415"/>
      <c r="AV32" s="55"/>
      <c r="AW32" s="50"/>
      <c r="AX32" s="867" t="str">
        <f ca="1">IFERROR(BS32/BV32,"")</f>
        <v/>
      </c>
      <c r="AY32" s="55" t="e">
        <f t="array" aca="1" ref="AY32" ca="1">_xll.BDP($BD$1,"ud gp target price","eqy fund per=A","eqy fund year",RIGHT($BB$32,4))</f>
        <v>#NAME?</v>
      </c>
      <c r="AZ32" s="52" t="e">
        <f ca="1">AY32</f>
        <v>#NAME?</v>
      </c>
      <c r="BA32" s="51" t="e">
        <f ca="1">IF(OR($BJ$3=$CE$1,$BJ$3=$CE$2,$BJ$3=$CE$3),$BA$28*AZ32*100,$BA$28*AZ32)</f>
        <v>#NAME?</v>
      </c>
      <c r="BB32" s="466" t="e">
        <f t="array" aca="1" ref="BB32" ca="1">_xll.BDP(BD1, "BEST_PERIOD_END_DATE", "BEST_FPERIOD_OVERRIDE","1FY")</f>
        <v>#NAME?</v>
      </c>
      <c r="BC32" s="819" t="e">
        <f t="array" aca="1" ref="BC32" ca="1">_xll.BDP($BD$1,"ud gp est shrs","eqy fund per=A","eqy fund year",RIGHT($BB$32,4))/$BG$5</f>
        <v>#NAME?</v>
      </c>
      <c r="BD32" s="357" t="s">
        <v>770</v>
      </c>
      <c r="BE32" s="5" t="str">
        <f>A32</f>
        <v>FY1</v>
      </c>
      <c r="BF32" s="169" t="e">
        <f t="array" aca="1" ref="BF32" ca="1">_xll.BDP($BD$1,"ud gp est ncnita","eqy fund per=A","eqy fund year",RIGHT($BB$32,4))/$BG$4</f>
        <v>#NAME?</v>
      </c>
      <c r="BG32" s="43"/>
      <c r="BH32" s="28" t="s">
        <v>771</v>
      </c>
      <c r="BI32" s="747"/>
      <c r="BJ32" s="747"/>
      <c r="BK32" s="747"/>
      <c r="BL32" s="747"/>
      <c r="BM32" s="178"/>
      <c r="BN32" s="364" t="s">
        <v>772</v>
      </c>
      <c r="BO32" s="825" t="e">
        <f t="array" aca="1" ref="BO32" ca="1">_xll.BDP($BD$1,"ud gp est shrs","eqy fund per=A","eqy fund year",RIGHT($BB$32,4))/$BG$4</f>
        <v>#NAME?</v>
      </c>
      <c r="BP32" s="747" t="s">
        <v>773</v>
      </c>
      <c r="BQ32" s="18" t="e">
        <f t="array" aca="1" ref="BQ32" ca="1">_xll.BDP($BD$1,"ud gp est ev adj","eqy fund per=A","eqy fund year",RIGHT($BB$32,4))/$BG$4</f>
        <v>#NAME?</v>
      </c>
      <c r="BR32" s="178"/>
      <c r="BS32" s="371" t="e">
        <f ca="1">IF($BI$8="MLN",S32*AZ32+BQ32,IF($BI$8="BLN",((S32*AZ32)/$BG$11)+BQ32,IF($BI$8="TRN",((S32*AZ32)/$BG$11)+BQ32,"")))</f>
        <v>#NAME?</v>
      </c>
      <c r="BT32" s="18" t="e">
        <f t="array" aca="1" ref="BT32" ca="1">_xll.BDP($BD$1,"ud gp est equity","eqy fund per=A","eqy fund year",RIGHT($BB$32,4))/$BG$4</f>
        <v>#NAME?</v>
      </c>
      <c r="BU32" s="18" t="e">
        <f t="array" aca="1" ref="BU32" ca="1">_xll.BDP($BD$1,"ud gp est tang equity","eqy fund per=A","eqy fund year",RIGHT($BB$32,4))/$BG$4</f>
        <v>#NAME?</v>
      </c>
      <c r="BV32" s="18" t="e">
        <f t="array" aca="1" ref="BV32" ca="1">_xll.BDP($BD$1,"ud gp est fcf","eqy fund per=A","eqy fund year",RIGHT($BB$32,4))/$BG$4</f>
        <v>#NAME?</v>
      </c>
      <c r="BW32" s="747" t="s">
        <v>774</v>
      </c>
      <c r="BX32" s="825" t="e">
        <f ca="1">BT32/BO32</f>
        <v>#NAME?</v>
      </c>
      <c r="BY32" s="826" t="e">
        <f ca="1">BU32/BO32</f>
        <v>#NAME?</v>
      </c>
      <c r="CW32" s="382" t="e">
        <f t="array" aca="1" ref="CW32" ca="1">_xll.BDP($BD$1,"ud gp est ebitda","eqy fund per=A","eqy fund year",RIGHT($BB$32,4))/$BG$4</f>
        <v>#NAME?</v>
      </c>
      <c r="CX32" s="747"/>
      <c r="CY32" s="18" t="e">
        <f ca="1">H104</f>
        <v>#NAME?</v>
      </c>
      <c r="CZ32" s="18" t="s">
        <v>775</v>
      </c>
      <c r="DA32" s="5" t="s">
        <v>620</v>
      </c>
      <c r="DB32" s="868" t="str">
        <f ca="1">IF($CW$12=1,CW32,IF(OR($CX$12=1,$CY$12=1),CY32,""))</f>
        <v/>
      </c>
      <c r="DC32" s="869" t="e">
        <f t="array" aca="1" ref="DC32" ca="1">_xll.BDP($BD$1,"ud gp est ebit2","eqy fund per=A","eqy fund year",RIGHT($BB$32,4))/$BG$4</f>
        <v>#NAME?</v>
      </c>
      <c r="DD32" s="386" t="s">
        <v>776</v>
      </c>
      <c r="DE32" s="747"/>
      <c r="DF32" s="825" t="e">
        <f ca="1">O104</f>
        <v>#NAME?</v>
      </c>
      <c r="DG32" s="386" t="s">
        <v>776</v>
      </c>
      <c r="DH32" s="747"/>
      <c r="DI32" s="868" t="e">
        <f ca="1">IF($DC$12=1,DC32,IF(OR($DF$12=1,$DG$12=1),DF32,""))</f>
        <v>#NAME?</v>
      </c>
      <c r="DJ32" s="392" t="e">
        <f t="array" aca="1" ref="DJ32" ca="1">_xll.BDP($BD$1,"ud gp est co eps v2","be997",RIGHT($BB32,4)&amp;"Y")</f>
        <v>#NAME?</v>
      </c>
      <c r="DK32" s="243" t="e">
        <f ca="1">AL104</f>
        <v>#NAME?</v>
      </c>
      <c r="DL32" s="187" t="e">
        <f t="array" aca="1" ref="DL32" ca="1">_xll.BDP($BD$1,"best affops","best fperiod override","1FY","best consolidated override",$CV$3,"eqy fund crncy",$B$13)</f>
        <v>#NAME?</v>
      </c>
      <c r="DM32" s="187" t="e">
        <f t="array" aca="1" ref="DM32" ca="1">_xll.BDP($BD$1,"best ffops","best fperiod override","1FY","best consolidated override",$CV$3,"eqy fund crncy",$B$13)</f>
        <v>#NAME?</v>
      </c>
      <c r="DN32" s="387" t="str">
        <f t="shared" ca="1" si="63"/>
        <v/>
      </c>
      <c r="DX32" t="s">
        <v>777</v>
      </c>
      <c r="DY32" s="2" t="s">
        <v>778</v>
      </c>
      <c r="DZ32" s="695">
        <v>0</v>
      </c>
    </row>
    <row r="33" spans="1:130" ht="16" customHeight="1">
      <c r="A33" s="681" t="s">
        <v>534</v>
      </c>
      <c r="B33" s="810" t="e">
        <f t="array" aca="1" ref="B33" ca="1">_xll.BDP($BD$1,"ud gp est sales v2","be997",RIGHT($BB33,4)&amp;"Y")/$BG$4</f>
        <v>#NAME?</v>
      </c>
      <c r="C33" s="86"/>
      <c r="D33" s="86"/>
      <c r="E33" s="687" t="s">
        <v>463</v>
      </c>
      <c r="F33" s="157" t="e">
        <f ca="1">H105</f>
        <v>#NAME?</v>
      </c>
      <c r="G33" s="870" t="str">
        <f ca="1">IFERROR(F33/$D105*100,"")</f>
        <v/>
      </c>
      <c r="H33" s="74" t="e">
        <f t="array" aca="1" ref="H33" ca="1">_xll.BDP($BD$1,"ud gp est ebit1","eqy fund per=A","eqy fund year",RIGHT($BB$33,4))/$BG$4</f>
        <v>#NAME?</v>
      </c>
      <c r="I33" s="784" t="str">
        <f t="shared" ca="1" si="70"/>
        <v/>
      </c>
      <c r="J33" s="191"/>
      <c r="P33" s="805"/>
      <c r="Q33" s="86"/>
      <c r="R33" s="74" t="e">
        <f t="array" aca="1" ref="R33" ca="1">_xll.BDP($BD$1,"ud gp est ni gaap","eqy fund per=A","eqy fund year",RIGHT($BB$33,4))/$BG$4</f>
        <v>#NAME?</v>
      </c>
      <c r="S33" s="812" t="e">
        <f t="array" aca="1" ref="S33" ca="1">_xll.BDP($BD$1,"ud gp est dil shrs","eqy fund per=A","eqy fund year",RIGHT($BB$33,4))/$BJ$10</f>
        <v>#NAME?</v>
      </c>
      <c r="T33" s="814" t="e">
        <f t="array" aca="1" ref="T33" ca="1">_xll.BDP($BD$1,"ud gp est gaap eps","eqy fund per=A","eqy fund year",RIGHT($BB$33,4))</f>
        <v>#NAME?</v>
      </c>
      <c r="U33" s="74" t="str">
        <f t="shared" ca="1" si="10"/>
        <v/>
      </c>
      <c r="V33" s="805" t="str">
        <f ca="1">IFERROR(U33/C105*100,"")</f>
        <v/>
      </c>
      <c r="W33" s="687" t="e">
        <f t="shared" ca="1" si="12"/>
        <v>#NAME?</v>
      </c>
      <c r="X33" s="699" t="str">
        <f t="shared" ca="1" si="13"/>
        <v/>
      </c>
      <c r="Y33" s="749"/>
      <c r="AA33" s="687" t="e">
        <f t="array" aca="1" ref="AA33" ca="1">_xll.BDP($BD$1,"ud gp est ebit3","eqy fund per=A","eqy fund year",RIGHT($BB$33,4))/$BG$4</f>
        <v>#NAME?</v>
      </c>
      <c r="AB33" s="805" t="str">
        <f t="shared" ca="1" si="16"/>
        <v/>
      </c>
      <c r="AC33" s="714" t="e">
        <f t="array" aca="1" ref="AC33" ca="1">_xll.BDP($BD$1,"ud gp est eps v2","be997",RIGHT($BB33,4)&amp;"Y")*1</f>
        <v>#NAME?</v>
      </c>
      <c r="AD33" s="180" t="e">
        <f ca="1">AE33/AC33</f>
        <v>#NAME?</v>
      </c>
      <c r="AE33" s="719" t="e">
        <f t="array" aca="1" ref="AE33" ca="1">_xll.BDP($BD$1,"ud gp est dps","eqy fund per=A","eqy fund year",RIGHT($BB$33,4))</f>
        <v>#NAME?</v>
      </c>
      <c r="AF33" s="784" t="e">
        <f ca="1">AE33/AY33*100</f>
        <v>#NAME?</v>
      </c>
      <c r="AG33" s="817" t="e">
        <f ca="1">BA33</f>
        <v>#NAME?</v>
      </c>
      <c r="AH33" s="775" t="e">
        <f ca="1">AY33/T33</f>
        <v>#NAME?</v>
      </c>
      <c r="AI33" s="775" t="e">
        <f ca="1">AY33/X33</f>
        <v>#NAME?</v>
      </c>
      <c r="AJ33" s="775" t="e">
        <f ca="1">AY33/AC33</f>
        <v>#NAME?</v>
      </c>
      <c r="AK33" s="686" t="s">
        <v>769</v>
      </c>
      <c r="AL33" s="812" t="str">
        <f ca="1">IFERROR(BS33/F33,"")</f>
        <v/>
      </c>
      <c r="AM33" s="686" t="s">
        <v>769</v>
      </c>
      <c r="AN33" s="805" t="str">
        <f t="shared" ca="1" si="23"/>
        <v/>
      </c>
      <c r="AO33" s="805" t="str">
        <f ca="1">IFERROR(BS33/AA33,"")</f>
        <v/>
      </c>
      <c r="AP33" s="686" t="s">
        <v>769</v>
      </c>
      <c r="AQ33" s="805" t="str">
        <f ca="1">IFERROR(BS33/B33,"")</f>
        <v/>
      </c>
      <c r="AR33" s="805" t="str">
        <f ca="1">IFERROR(AY33/BX33,"")</f>
        <v/>
      </c>
      <c r="AS33" s="784" t="str">
        <f ca="1">IFERROR(BV33/BS33*100,"")</f>
        <v/>
      </c>
      <c r="AU33" s="416"/>
      <c r="AV33" s="51"/>
      <c r="AW33" s="53"/>
      <c r="AX33" s="818" t="str">
        <f ca="1">IFERROR(BS33/BV33,"")</f>
        <v/>
      </c>
      <c r="AY33" s="51" t="e">
        <f t="array" aca="1" ref="AY33" ca="1">_xll.BDP($BD$1,"ud gp target price","eqy fund per=A","eqy fund year",RIGHT($BB$33,4))</f>
        <v>#NAME?</v>
      </c>
      <c r="AZ33" s="52" t="e">
        <f ca="1">AY33</f>
        <v>#NAME?</v>
      </c>
      <c r="BA33" s="51" t="e">
        <f ca="1">IF(OR($BJ$3=$CE$1,$BJ$3=$CE$2,$BJ$3=$CE$3),$BA$28*AZ33*100,$BA$28*AZ33)</f>
        <v>#NAME?</v>
      </c>
      <c r="BB33" s="466" t="e">
        <f t="array" aca="1" ref="BB33" ca="1">_xll.BDP(BD1, "BEST_PERIOD_END_DATE", "BEST_FPERIOD_OVERRIDE","2FY")</f>
        <v>#NAME?</v>
      </c>
      <c r="BC33" s="832" t="e">
        <f t="array" aca="1" ref="BC33" ca="1">_xll.BDP($BD$1,"ud gp est shrs","eqy fund per=A","eqy fund year",RIGHT($BB$33,4))/$BG$5</f>
        <v>#NAME?</v>
      </c>
      <c r="BD33" s="338"/>
      <c r="BE33" s="2" t="str">
        <f>A33</f>
        <v>FY2</v>
      </c>
      <c r="BF33" s="10" t="e">
        <f t="array" aca="1" ref="BF33" ca="1">_xll.BDP($BD$1,"ud gp est ncnita","eqy fund per=A","eqy fund year",RIGHT($BB$33,4))/$BG$4</f>
        <v>#NAME?</v>
      </c>
      <c r="BG33" s="749"/>
      <c r="BH33" s="162" t="e">
        <f t="array" aca="1" ref="BH33" ca="1">_xll.BDP(BD1,"trail 12m dvd per sh","eqy fund crncy",$BJ$4)/1</f>
        <v>#NAME?</v>
      </c>
      <c r="BM33" s="765"/>
      <c r="BN33" s="338"/>
      <c r="BO33" s="821" t="e">
        <f t="array" aca="1" ref="BO33" ca="1">_xll.BDP($BD$1,"ud gp est shrs","eqy fund per=A","eqy fund year",RIGHT($BB$33,4))/$BG$4</f>
        <v>#NAME?</v>
      </c>
      <c r="BQ33" s="8" t="e">
        <f t="array" aca="1" ref="BQ33" ca="1">_xll.BDP($BD$1,"ud gp est ev adj","eqy fund per=A","eqy fund year",RIGHT($BB$33,4))/$BG$4</f>
        <v>#NAME?</v>
      </c>
      <c r="BR33" s="765"/>
      <c r="BS33" s="368" t="e">
        <f ca="1">IF($BI$8="MLN",S33*AZ33+BQ33,IF($BI$8="BLN",((S33*AZ33)/$BG$11)+BQ33,IF($BI$8="TRN",((S33*AZ33)/$BG$11)+BQ33,"")))</f>
        <v>#NAME?</v>
      </c>
      <c r="BT33" s="8" t="e">
        <f t="array" aca="1" ref="BT33" ca="1">_xll.BDP($BD$1,"ud gp est equity","eqy fund per=A","eqy fund year",RIGHT($BB$33,4))/$BG$4</f>
        <v>#NAME?</v>
      </c>
      <c r="BU33" s="8" t="e">
        <f t="array" aca="1" ref="BU33" ca="1">_xll.BDP($BD$1,"ud gp est tang equity","eqy fund per=A","eqy fund year",RIGHT($BB$33,4))/$BG$4</f>
        <v>#NAME?</v>
      </c>
      <c r="BV33" s="8" t="e">
        <f t="array" aca="1" ref="BV33" ca="1">_xll.BDP($BD$1,"ud gp est fcf","eqy fund per=A","eqy fund year",RIGHT($BB$33,4))/$BG$4</f>
        <v>#NAME?</v>
      </c>
      <c r="BX33" s="821" t="e">
        <f ca="1">BT33/BO33</f>
        <v>#NAME?</v>
      </c>
      <c r="BY33" s="833" t="e">
        <f ca="1">BU33/BO33</f>
        <v>#NAME?</v>
      </c>
      <c r="CW33" s="383" t="e">
        <f t="array" aca="1" ref="CW33" ca="1">_xll.BDP($BD$1,"ud gp est ebitda","eqy fund per=A","eqy fund year",RIGHT($BB$33,4))/$BG$4</f>
        <v>#NAME?</v>
      </c>
      <c r="CY33" s="8" t="e">
        <f ca="1">H105</f>
        <v>#NAME?</v>
      </c>
      <c r="CZ33" s="8" t="e">
        <f ca="1">CZ38/$BG$4</f>
        <v>#NAME?</v>
      </c>
      <c r="DA33" s="821" t="e">
        <f ca="1">DA38/$BG$4</f>
        <v>#NAME?</v>
      </c>
      <c r="DB33" s="828" t="str">
        <f ca="1">IF($CW$12=1,CW33,IF(OR($CX$12=1,$CY$12=1),CY33,""))</f>
        <v/>
      </c>
      <c r="DC33" s="871" t="e">
        <f t="array" aca="1" ref="DC33" ca="1">_xll.BDP($BD$1,"ud gp est ebit2","eqy fund per=A","eqy fund year",RIGHT($BB$33,4))/$BG$4</f>
        <v>#NAME?</v>
      </c>
      <c r="DD33" s="821" t="e">
        <f ca="1">DG33/$BG$4</f>
        <v>#NAME?</v>
      </c>
      <c r="DE33" s="821" t="e">
        <f ca="1">DH33/$BG$4</f>
        <v>#NAME?</v>
      </c>
      <c r="DF33" s="821" t="e">
        <f ca="1">O105</f>
        <v>#NAME?</v>
      </c>
      <c r="DG33" s="821" t="e">
        <f ca="1">_xll.BDH(BD1,DC15,"-3fq","","dts=h","fund per=q","per=q")</f>
        <v>#NAME?</v>
      </c>
      <c r="DH33" s="821" t="e">
        <f ca="1">_xll.BDH(BD1,DC15,"-1fs","","dts=h","fund per=s","per=fs")</f>
        <v>#NAME?</v>
      </c>
      <c r="DI33" s="828" t="e">
        <f ca="1">IF($DC$12=1,DC33,IF(OR($DF$12=1,$DG$12=1),DF33,""))</f>
        <v>#NAME?</v>
      </c>
      <c r="DJ33" s="380" t="e">
        <f t="array" aca="1" ref="DJ33" ca="1">_xll.BDP($BD$1,"ud gp est co eps v2","be997",RIGHT($BB33,4)&amp;"Y")</f>
        <v>#NAME?</v>
      </c>
      <c r="DK33" s="3" t="e">
        <f ca="1">AL105</f>
        <v>#NAME?</v>
      </c>
      <c r="DL33" s="162" t="e">
        <f t="array" aca="1" ref="DL33" ca="1">_xll.BDP($BD$1,"best affops","best fperiod override","2FY","best consolidated override",$CV$3,"eqy fund crncy",$B$13)</f>
        <v>#NAME?</v>
      </c>
      <c r="DM33" s="162" t="e">
        <f t="array" aca="1" ref="DM33" ca="1">_xll.BDP($BD$1,"best ffops","best fperiod override","2FY","best consolidated override",$CV$3,"eqy fund crncy",$B$13)</f>
        <v>#NAME?</v>
      </c>
      <c r="DN33" s="388" t="str">
        <f t="shared" ca="1" si="63"/>
        <v/>
      </c>
      <c r="DX33" t="s">
        <v>779</v>
      </c>
      <c r="DY33" s="2" t="s">
        <v>780</v>
      </c>
      <c r="DZ33" s="695">
        <v>0</v>
      </c>
    </row>
    <row r="34" spans="1:130" ht="16" customHeight="1">
      <c r="A34" s="681" t="s">
        <v>547</v>
      </c>
      <c r="B34" s="810" t="e">
        <f t="array" aca="1" ref="B34" ca="1">_xll.BDP($BD$1,"ud gp est sales v2","be997",RIGHT($BB34,4)&amp;"Y")/$BG$4</f>
        <v>#NAME?</v>
      </c>
      <c r="C34" s="86"/>
      <c r="D34" s="86"/>
      <c r="E34" s="687" t="s">
        <v>463</v>
      </c>
      <c r="F34" s="157" t="e">
        <f ca="1">H106</f>
        <v>#NAME?</v>
      </c>
      <c r="G34" s="870" t="str">
        <f ca="1">IFERROR(F34/$D106*100,"")</f>
        <v/>
      </c>
      <c r="H34" s="74" t="e">
        <f t="array" aca="1" ref="H34" ca="1">_xll.BDP($BD$1,"ud gp est ebit1","eqy fund per=A","eqy fund year",RIGHT($BB$34,4))/$BG$4</f>
        <v>#NAME?</v>
      </c>
      <c r="I34" s="784" t="str">
        <f t="shared" ca="1" si="70"/>
        <v/>
      </c>
      <c r="J34" s="191"/>
      <c r="P34" s="805"/>
      <c r="Q34" s="86"/>
      <c r="R34" s="74" t="e">
        <f t="array" aca="1" ref="R34" ca="1">_xll.BDP($BD$1,"ud gp est ni gaap","eqy fund per=A","eqy fund year",RIGHT($BB$34,4))/$BG$4</f>
        <v>#NAME?</v>
      </c>
      <c r="S34" s="812" t="e">
        <f t="array" aca="1" ref="S34" ca="1">_xll.BDP($BD$1,"ud gp est dil shrs","eqy fund per=A","eqy fund year",RIGHT($BB$34,4))/$BJ$10</f>
        <v>#NAME?</v>
      </c>
      <c r="T34" s="814" t="e">
        <f t="array" aca="1" ref="T34" ca="1">_xll.BDP($BD$1,"ud gp est gaap eps","eqy fund per=A","eqy fund year",RIGHT($BB$34,4))</f>
        <v>#NAME?</v>
      </c>
      <c r="U34" s="74" t="str">
        <f t="shared" ca="1" si="10"/>
        <v/>
      </c>
      <c r="V34" s="805" t="str">
        <f ca="1">IFERROR(U34/C106*100,"")</f>
        <v/>
      </c>
      <c r="W34" s="687" t="e">
        <f t="shared" ca="1" si="12"/>
        <v>#NAME?</v>
      </c>
      <c r="X34" s="699" t="str">
        <f t="shared" ca="1" si="13"/>
        <v/>
      </c>
      <c r="Y34" s="749"/>
      <c r="AA34" s="687" t="e">
        <f t="array" aca="1" ref="AA34" ca="1">_xll.BDP($BD$1,"ud gp est ebit3","eqy fund per=A","eqy fund year",RIGHT($BB$34,4))/$BG$4</f>
        <v>#NAME?</v>
      </c>
      <c r="AB34" s="805" t="str">
        <f t="shared" ca="1" si="16"/>
        <v/>
      </c>
      <c r="AC34" s="714" t="e">
        <f t="array" aca="1" ref="AC34" ca="1">_xll.BDP($BD$1,"ud gp est eps v2","be997",RIGHT($BB34,4)&amp;"Y")*1</f>
        <v>#NAME?</v>
      </c>
      <c r="AD34" s="180" t="e">
        <f ca="1">AE34/AC34</f>
        <v>#NAME?</v>
      </c>
      <c r="AE34" s="719" t="e">
        <f t="array" aca="1" ref="AE34" ca="1">_xll.BDP($BD$1,"ud gp est dps","eqy fund per=A","eqy fund year",RIGHT($BB$34,4))</f>
        <v>#NAME?</v>
      </c>
      <c r="AF34" s="784" t="e">
        <f ca="1">AE34/AY34*100</f>
        <v>#NAME?</v>
      </c>
      <c r="AG34" s="817" t="e">
        <f ca="1">BA34</f>
        <v>#NAME?</v>
      </c>
      <c r="AH34" s="775" t="e">
        <f ca="1">AY34/T34</f>
        <v>#NAME?</v>
      </c>
      <c r="AI34" s="775" t="e">
        <f ca="1">AY34/X34</f>
        <v>#NAME?</v>
      </c>
      <c r="AJ34" s="775" t="e">
        <f ca="1">AY34/AC34</f>
        <v>#NAME?</v>
      </c>
      <c r="AK34" s="686" t="s">
        <v>769</v>
      </c>
      <c r="AL34" s="812" t="str">
        <f ca="1">IFERROR(BS34/F34,"")</f>
        <v/>
      </c>
      <c r="AM34" s="686" t="s">
        <v>769</v>
      </c>
      <c r="AN34" s="805" t="str">
        <f t="shared" ca="1" si="23"/>
        <v/>
      </c>
      <c r="AO34" s="805" t="str">
        <f ca="1">IFERROR(BS34/AA34,"")</f>
        <v/>
      </c>
      <c r="AP34" s="686" t="s">
        <v>769</v>
      </c>
      <c r="AQ34" s="805" t="str">
        <f ca="1">IFERROR(BS34/B34,"")</f>
        <v/>
      </c>
      <c r="AR34" s="805" t="str">
        <f ca="1">IFERROR(AY34/BX34,"")</f>
        <v/>
      </c>
      <c r="AS34" s="784" t="str">
        <f ca="1">IFERROR(BV34/BS34*100,"")</f>
        <v/>
      </c>
      <c r="AU34" s="416"/>
      <c r="AV34" s="51"/>
      <c r="AW34" s="53"/>
      <c r="AX34" s="818" t="str">
        <f ca="1">IFERROR(BS34/BV34,"")</f>
        <v/>
      </c>
      <c r="AY34" s="51" t="e">
        <f t="array" aca="1" ref="AY34" ca="1">_xll.BDP($BD$1,"ud gp target price","eqy fund per=A","eqy fund year",RIGHT($BB$34,4))</f>
        <v>#NAME?</v>
      </c>
      <c r="AZ34" s="52" t="e">
        <f ca="1">AY34</f>
        <v>#NAME?</v>
      </c>
      <c r="BA34" s="51" t="e">
        <f ca="1">IF(OR($BJ$3=$CE$1,$BJ$3=$CE$2,$BJ$3=$CE$3),$BA$28*AZ34*100,$BA$28*AZ34)</f>
        <v>#NAME?</v>
      </c>
      <c r="BB34" s="466" t="e">
        <f t="array" aca="1" ref="BB34" ca="1">_xll.BDP(BD1, "BEST_PERIOD_END_DATE", "BEST_FPERIOD_OVERRIDE","3FY")</f>
        <v>#NAME?</v>
      </c>
      <c r="BC34" s="832" t="e">
        <f t="array" aca="1" ref="BC34" ca="1">_xll.BDP($BD$1,"ud gp est shrs","eqy fund per=A","eqy fund year",RIGHT($BB$34,4))/$BG$5</f>
        <v>#NAME?</v>
      </c>
      <c r="BD34" s="338"/>
      <c r="BE34" s="2" t="str">
        <f>A34</f>
        <v>FY3</v>
      </c>
      <c r="BF34" s="10" t="e">
        <f t="array" aca="1" ref="BF34" ca="1">_xll.BDP($BD$1,"ud gp est ncnita","eqy fund per=A","eqy fund year",RIGHT($BB$34,4))/$BG$4</f>
        <v>#NAME?</v>
      </c>
      <c r="BG34" s="749"/>
      <c r="BH34" s="162" t="e">
        <f t="array" aca="1" ref="BH34" ca="1">_xll.BDP(BD1,"dvd sh 12m","eqy fund crncy",$BJ$4)/1</f>
        <v>#NAME?</v>
      </c>
      <c r="BM34" s="765"/>
      <c r="BN34" s="338"/>
      <c r="BO34" s="821" t="e">
        <f t="array" aca="1" ref="BO34" ca="1">_xll.BDP($BD$1,"ud gp est shrs","eqy fund per=A","eqy fund year",RIGHT($BB$34,4))/$BG$4</f>
        <v>#NAME?</v>
      </c>
      <c r="BQ34" s="8" t="e">
        <f t="array" aca="1" ref="BQ34" ca="1">_xll.BDP($BD$1,"ud gp est ev adj","eqy fund per=A","eqy fund year",RIGHT($BB$34,4))/$BG$4</f>
        <v>#NAME?</v>
      </c>
      <c r="BR34" s="765"/>
      <c r="BS34" s="368" t="e">
        <f ca="1">IF($BI$8="MLN",S34*AZ34+BQ34,IF($BI$8="BLN",((S34*AZ34)/$BG$11)+BQ34,IF($BI$8="TRN",((S34*AZ34)/$BG$11)+BQ34,"")))</f>
        <v>#NAME?</v>
      </c>
      <c r="BT34" s="8" t="e">
        <f t="array" aca="1" ref="BT34" ca="1">_xll.BDP($BD$1,"ud gp est equity","eqy fund per=A","eqy fund year",RIGHT($BB$34,4))/$BG$4</f>
        <v>#NAME?</v>
      </c>
      <c r="BU34" s="8" t="e">
        <f t="array" aca="1" ref="BU34" ca="1">_xll.BDP($BD$1,"ud gp est tang equity","eqy fund per=A","eqy fund year",RIGHT($BB$34,4))/$BG$4</f>
        <v>#NAME?</v>
      </c>
      <c r="BV34" s="8" t="e">
        <f t="array" aca="1" ref="BV34" ca="1">_xll.BDP($BD$1,"ud gp est fcf","eqy fund per=A","eqy fund year",RIGHT($BB$34,4))/$BG$4</f>
        <v>#NAME?</v>
      </c>
      <c r="BX34" s="821" t="e">
        <f ca="1">BT34/BO34</f>
        <v>#NAME?</v>
      </c>
      <c r="BY34" s="833" t="e">
        <f ca="1">BU34/BO34</f>
        <v>#NAME?</v>
      </c>
      <c r="CW34" s="383" t="e">
        <f t="array" aca="1" ref="CW34" ca="1">_xll.BDP($BD$1,"ud gp est ebitda","eqy fund per=A","eqy fund year",RIGHT($BB$34,4))/$BG$4</f>
        <v>#NAME?</v>
      </c>
      <c r="CY34" s="8" t="e">
        <f ca="1">H106</f>
        <v>#NAME?</v>
      </c>
      <c r="CZ34" s="2" t="e">
        <f ca="1">CZ39/$BG$4</f>
        <v>#NAME?</v>
      </c>
      <c r="DA34" s="821" t="e">
        <f ca="1">DA39/$BG$4</f>
        <v>#NAME?</v>
      </c>
      <c r="DB34" s="828" t="str">
        <f ca="1">IF($CW$12=1,CW34,IF(OR($CX$12=1,$CY$12=1),CY34,""))</f>
        <v/>
      </c>
      <c r="DC34" s="871" t="e">
        <f t="array" aca="1" ref="DC34" ca="1">_xll.BDP($BD$1,"ud gp est ebit2","eqy fund per=A","eqy fund year",RIGHT($BB$34,4))/$BG$4</f>
        <v>#NAME?</v>
      </c>
      <c r="DD34" s="821" t="e">
        <f ca="1">DG34/$BG$4</f>
        <v>#NAME?</v>
      </c>
      <c r="DE34" s="821" t="e">
        <f ca="1">DH34/$BG$4</f>
        <v>#NAME?</v>
      </c>
      <c r="DF34" s="821" t="e">
        <f ca="1">O106</f>
        <v>#NAME?</v>
      </c>
      <c r="DG34" s="821"/>
      <c r="DH34" s="821"/>
      <c r="DI34" s="828" t="e">
        <f ca="1">IF($DC$12=1,DC34,IF(OR($DF$12=1,$DG$12=1),DF34,""))</f>
        <v>#NAME?</v>
      </c>
      <c r="DJ34" s="380" t="e">
        <f t="array" aca="1" ref="DJ34" ca="1">_xll.BDP($BD$1,"ud gp est co eps v2","be997",RIGHT($BB34,4)&amp;"Y")</f>
        <v>#NAME?</v>
      </c>
      <c r="DK34" s="3" t="e">
        <f ca="1">AL106</f>
        <v>#NAME?</v>
      </c>
      <c r="DL34" s="162" t="e">
        <f t="array" aca="1" ref="DL34" ca="1">_xll.BDP($BD$1,"best affops","best fperiod override","3FY","best consolidated override",$CV$3,"eqy fund crncy",$B$13)</f>
        <v>#NAME?</v>
      </c>
      <c r="DM34" s="162" t="e">
        <f t="array" aca="1" ref="DM34" ca="1">_xll.BDP($BD$1,"best ffops","best fperiod override","3FY","best consolidated override",$CV$3,"eqy fund crncy",$B$13)</f>
        <v>#NAME?</v>
      </c>
      <c r="DN34" s="388" t="str">
        <f t="shared" ca="1" si="63"/>
        <v/>
      </c>
      <c r="DX34" t="s">
        <v>781</v>
      </c>
      <c r="DY34" s="2" t="s">
        <v>782</v>
      </c>
      <c r="DZ34" s="695">
        <v>0.15</v>
      </c>
    </row>
    <row r="35" spans="1:130" ht="16" customHeight="1">
      <c r="A35" s="681" t="s">
        <v>558</v>
      </c>
      <c r="B35" s="810" t="e">
        <f t="array" aca="1" ref="B35" ca="1">_xll.BDP($BD$1,"ud gp est sales v2","be997",RIGHT($BB35,4)&amp;"Y")/$BG$4</f>
        <v>#NAME?</v>
      </c>
      <c r="C35" s="86"/>
      <c r="D35" s="86"/>
      <c r="E35" s="687" t="s">
        <v>463</v>
      </c>
      <c r="F35" s="157" t="e">
        <f ca="1">H107</f>
        <v>#NAME?</v>
      </c>
      <c r="G35" s="870" t="str">
        <f ca="1">IFERROR(F35/$D107*100,"")</f>
        <v/>
      </c>
      <c r="H35" s="74" t="e">
        <f t="array" aca="1" ref="H35" ca="1">_xll.BDP($BD$1,"ud gp est ebit1","eqy fund per=A","eqy fund year",RIGHT($BB$35,4))/$BG$4</f>
        <v>#NAME?</v>
      </c>
      <c r="I35" s="784" t="str">
        <f t="shared" ca="1" si="70"/>
        <v/>
      </c>
      <c r="J35" s="191"/>
      <c r="P35" s="805"/>
      <c r="Q35" s="86"/>
      <c r="R35" s="74" t="e">
        <f t="array" aca="1" ref="R35" ca="1">_xll.BDP($BD$1,"ud gp est ni gaap","eqy fund per=A","eqy fund year",RIGHT($BB$35,4))/$BG$4</f>
        <v>#NAME?</v>
      </c>
      <c r="S35" s="812" t="e">
        <f t="array" aca="1" ref="S35" ca="1">_xll.BDP($BD$1,"ud gp est dil shrs","eqy fund per=A","eqy fund year",RIGHT($BB$35,4))/$BJ$10</f>
        <v>#NAME?</v>
      </c>
      <c r="T35" s="814" t="e">
        <f t="array" aca="1" ref="T35" ca="1">_xll.BDP($BD$1,"ud gp est gaap eps","eqy fund per=A","eqy fund year",RIGHT($BB$35,4))</f>
        <v>#NAME?</v>
      </c>
      <c r="U35" s="74" t="str">
        <f t="shared" ca="1" si="10"/>
        <v/>
      </c>
      <c r="V35" s="805" t="str">
        <f ca="1">IFERROR(U35/C107*100,"")</f>
        <v/>
      </c>
      <c r="W35" s="687" t="e">
        <f t="shared" ca="1" si="12"/>
        <v>#NAME?</v>
      </c>
      <c r="X35" s="699" t="str">
        <f t="shared" ca="1" si="13"/>
        <v/>
      </c>
      <c r="Y35" s="749"/>
      <c r="AA35" s="687" t="e">
        <f t="array" aca="1" ref="AA35" ca="1">_xll.BDP($BD$1,"ud gp est ebit3","eqy fund per=A","eqy fund year",RIGHT($BB$35,4))/$BG$4</f>
        <v>#NAME?</v>
      </c>
      <c r="AB35" s="805" t="str">
        <f t="shared" ca="1" si="16"/>
        <v/>
      </c>
      <c r="AC35" s="714" t="e">
        <f t="array" aca="1" ref="AC35" ca="1">_xll.BDP($BD$1,"ud gp est eps v2","be997",RIGHT($BB35,4)&amp;"Y")*1</f>
        <v>#NAME?</v>
      </c>
      <c r="AD35" s="180" t="e">
        <f ca="1">AE35/AC35</f>
        <v>#NAME?</v>
      </c>
      <c r="AE35" s="719" t="e">
        <f t="array" aca="1" ref="AE35" ca="1">_xll.BDP($BD$1,"ud gp est dps","eqy fund per=A","eqy fund year",RIGHT($BB$35,4))</f>
        <v>#NAME?</v>
      </c>
      <c r="AF35" s="784" t="e">
        <f ca="1">AE35/AY35*100</f>
        <v>#NAME?</v>
      </c>
      <c r="AG35" s="817" t="e">
        <f ca="1">BA35</f>
        <v>#NAME?</v>
      </c>
      <c r="AH35" s="775" t="e">
        <f ca="1">AY35/T35</f>
        <v>#NAME?</v>
      </c>
      <c r="AI35" s="775" t="e">
        <f ca="1">AY35/X35</f>
        <v>#NAME?</v>
      </c>
      <c r="AJ35" s="775" t="e">
        <f ca="1">AY35/AC35</f>
        <v>#NAME?</v>
      </c>
      <c r="AK35" s="686" t="s">
        <v>769</v>
      </c>
      <c r="AL35" s="812" t="str">
        <f ca="1">IFERROR(BS35/F35,"")</f>
        <v/>
      </c>
      <c r="AM35" s="686" t="s">
        <v>769</v>
      </c>
      <c r="AN35" s="805" t="str">
        <f t="shared" ca="1" si="23"/>
        <v/>
      </c>
      <c r="AO35" s="805" t="str">
        <f ca="1">IFERROR(BS35/AA35,"")</f>
        <v/>
      </c>
      <c r="AP35" s="686" t="s">
        <v>769</v>
      </c>
      <c r="AQ35" s="805" t="str">
        <f ca="1">IFERROR(BS35/B35,"")</f>
        <v/>
      </c>
      <c r="AR35" s="805" t="str">
        <f ca="1">IFERROR(AY35/BX35,"")</f>
        <v/>
      </c>
      <c r="AS35" s="784" t="str">
        <f ca="1">IFERROR(BV35/BS35*100,"")</f>
        <v/>
      </c>
      <c r="AU35" s="416"/>
      <c r="AV35" s="51"/>
      <c r="AW35" s="53"/>
      <c r="AX35" s="818" t="str">
        <f ca="1">IFERROR(BS35/BV35,"")</f>
        <v/>
      </c>
      <c r="AY35" s="51" t="e">
        <f t="array" aca="1" ref="AY35" ca="1">_xll.BDP($BD$1,"ud gp target price","eqy fund per=A","eqy fund year",RIGHT($BB$35,4))</f>
        <v>#NAME?</v>
      </c>
      <c r="AZ35" s="52" t="e">
        <f ca="1">AY35</f>
        <v>#NAME?</v>
      </c>
      <c r="BA35" s="51" t="e">
        <f ca="1">IF(OR($BJ$3=$CE$1,$BJ$3=$CE$2,$BJ$3=$CE$3),$BA$28*AZ35*100,$BA$28*AZ35)</f>
        <v>#NAME?</v>
      </c>
      <c r="BB35" s="466" t="e">
        <f t="array" aca="1" ref="BB35" ca="1">_xll.BDP(BD1, "BEST_PERIOD_END_DATE", "BEST_FPERIOD_OVERRIDE","4FY")</f>
        <v>#NAME?</v>
      </c>
      <c r="BC35" s="832" t="e">
        <f t="array" aca="1" ref="BC35" ca="1">_xll.BDP($BD$1,"ud gp est shrs","eqy fund per=A","eqy fund year",RIGHT($BB$35,4))/$BG$5</f>
        <v>#NAME?</v>
      </c>
      <c r="BD35" s="338"/>
      <c r="BE35" s="2" t="str">
        <f>A35</f>
        <v>FY4</v>
      </c>
      <c r="BF35" s="10" t="e">
        <f t="array" aca="1" ref="BF35" ca="1">_xll.BDP($BD$1,"ud gp est ncnita","eqy fund per=A","eqy fund year",RIGHT($BB$35,4))/$BG$4</f>
        <v>#NAME?</v>
      </c>
      <c r="BG35" s="749"/>
      <c r="BM35" s="765"/>
      <c r="BN35" s="338"/>
      <c r="BO35" s="821" t="e">
        <f t="array" aca="1" ref="BO35" ca="1">_xll.BDP($BD$1,"ud gp est shrs","eqy fund per=A","eqy fund year",RIGHT($BB$35,4))/$BG$4</f>
        <v>#NAME?</v>
      </c>
      <c r="BQ35" s="8" t="e">
        <f t="array" aca="1" ref="BQ35" ca="1">_xll.BDP($BD$1,"ud gp est ev adj","eqy fund per=A","eqy fund year",RIGHT($BB$35,4))/$BG$4</f>
        <v>#NAME?</v>
      </c>
      <c r="BR35" s="765"/>
      <c r="BS35" s="368" t="e">
        <f ca="1">IF($BI$8="MLN",S35*AZ35+BQ35,IF($BI$8="BLN",((S35*AZ35)/$BG$11)+BQ35,IF($BI$8="TRN",((S35*AZ35)/$BG$11)+BQ35,"")))</f>
        <v>#NAME?</v>
      </c>
      <c r="BT35" s="8" t="e">
        <f t="array" aca="1" ref="BT35" ca="1">_xll.BDP($BD$1,"ud gp est equity","eqy fund per=A","eqy fund year",RIGHT($BB$35,4))/$BG$4</f>
        <v>#NAME?</v>
      </c>
      <c r="BU35" s="8" t="e">
        <f t="array" aca="1" ref="BU35" ca="1">_xll.BDP($BD$1,"ud gp est tang equity","eqy fund per=A","eqy fund year",RIGHT($BB$35,4))/$BG$4</f>
        <v>#NAME?</v>
      </c>
      <c r="BV35" s="8" t="e">
        <f t="array" aca="1" ref="BV35" ca="1">_xll.BDP($BD$1,"ud gp est fcf","eqy fund per=A","eqy fund year",RIGHT($BB$35,4))/$BG$4</f>
        <v>#NAME?</v>
      </c>
      <c r="BX35" s="821" t="e">
        <f ca="1">BT35/BO35</f>
        <v>#NAME?</v>
      </c>
      <c r="BY35" s="833" t="e">
        <f ca="1">BU35/BO35</f>
        <v>#NAME?</v>
      </c>
      <c r="CW35" s="383" t="e">
        <f t="array" aca="1" ref="CW35" ca="1">_xll.BDP($BD$1,"ud gp est ebitda","eqy fund per=A","eqy fund year",RIGHT($BB$35,4))/$BG$4</f>
        <v>#NAME?</v>
      </c>
      <c r="CY35" s="8" t="e">
        <f ca="1">H107</f>
        <v>#NAME?</v>
      </c>
      <c r="DA35" s="821" t="e">
        <f ca="1">DA40/$BG$4</f>
        <v>#NAME?</v>
      </c>
      <c r="DB35" s="828" t="str">
        <f ca="1">IF($CW$12=1,CW35,IF(OR($CX$12=1,$CY$12=1),CY35,""))</f>
        <v/>
      </c>
      <c r="DC35" s="871" t="e">
        <f t="array" aca="1" ref="DC35" ca="1">_xll.BDP($BD$1,"ud gp est ebit2","eqy fund per=A","eqy fund year",RIGHT($BB$35,4))/$BG$4</f>
        <v>#NAME?</v>
      </c>
      <c r="DD35" s="821" t="e">
        <f ca="1">DG35/$BG$4</f>
        <v>#NAME?</v>
      </c>
      <c r="DF35" s="821" t="e">
        <f ca="1">O107</f>
        <v>#NAME?</v>
      </c>
      <c r="DG35" s="821"/>
      <c r="DH35" s="821"/>
      <c r="DI35" s="828" t="e">
        <f ca="1">IF($DC$12=1,DC35,IF(OR($DF$12=1,$DG$12=1),DF35,""))</f>
        <v>#NAME?</v>
      </c>
      <c r="DJ35" s="380" t="e">
        <f t="array" aca="1" ref="DJ35" ca="1">_xll.BDP($BD$1,"ud gp est co eps v2","be997",RIGHT($BB35,4)&amp;"Y")</f>
        <v>#NAME?</v>
      </c>
      <c r="DK35" s="3" t="e">
        <f ca="1">AL107</f>
        <v>#NAME?</v>
      </c>
      <c r="DL35" s="162" t="e">
        <f t="array" aca="1" ref="DL35" ca="1">_xll.BDP($BD$1,"best affops","best fperiod override","4FY","best consolidated override",$CV$3,"eqy fund crncy",$B$13)</f>
        <v>#NAME?</v>
      </c>
      <c r="DM35" s="162" t="e">
        <f t="array" aca="1" ref="DM35" ca="1">_xll.BDP($BD$1,"best ffops","best fperiod override","4FY","best consolidated override",$CV$3,"eqy fund crncy",$B$13)</f>
        <v>#NAME?</v>
      </c>
      <c r="DN35" s="388" t="str">
        <f t="shared" ca="1" si="63"/>
        <v/>
      </c>
      <c r="DX35" t="s">
        <v>783</v>
      </c>
      <c r="DY35" s="2" t="s">
        <v>784</v>
      </c>
      <c r="DZ35" s="695">
        <v>0</v>
      </c>
    </row>
    <row r="36" spans="1:130" ht="16" customHeight="1" thickBot="1">
      <c r="A36" s="763" t="s">
        <v>567</v>
      </c>
      <c r="B36" s="872" t="e">
        <f t="array" aca="1" ref="B36" ca="1">_xll.BDP($BD$1,"ud gp est sales v2","be997",RIGHT($BB36,4)&amp;"Y")/$BG$4</f>
        <v>#NAME?</v>
      </c>
      <c r="C36" s="90"/>
      <c r="D36" s="90"/>
      <c r="E36" s="688" t="s">
        <v>463</v>
      </c>
      <c r="F36" s="183" t="e">
        <f ca="1">H108</f>
        <v>#NAME?</v>
      </c>
      <c r="G36" s="873" t="str">
        <f ca="1">IFERROR(F36/$D108*100,"")</f>
        <v/>
      </c>
      <c r="H36" s="89" t="e">
        <f t="array" aca="1" ref="H36" ca="1">_xll.BDP($BD$1,"ud gp est ebit1","eqy fund per=A","eqy fund year",RIGHT($BB$36,4))/$BG$4</f>
        <v>#NAME?</v>
      </c>
      <c r="I36" s="798" t="str">
        <f t="shared" ca="1" si="70"/>
        <v/>
      </c>
      <c r="J36" s="192"/>
      <c r="K36" s="191"/>
      <c r="L36" s="90"/>
      <c r="M36" s="90"/>
      <c r="N36" s="688"/>
      <c r="O36" s="90"/>
      <c r="P36" s="797"/>
      <c r="Q36" s="90"/>
      <c r="R36" s="89" t="e">
        <f t="array" aca="1" ref="R36" ca="1">_xll.BDP($BD$1,"ud gp est ni gaap","eqy fund per=A","eqy fund year",RIGHT($BB$36,4))/$BG$4</f>
        <v>#NAME?</v>
      </c>
      <c r="S36" s="874" t="e">
        <f t="array" aca="1" ref="S36" ca="1">_xll.BDP($BD$1,"ud gp est dil shrs","eqy fund per=A","eqy fund year",RIGHT($BB$36,4))/$BJ$10</f>
        <v>#NAME?</v>
      </c>
      <c r="T36" s="875" t="e">
        <f t="array" aca="1" ref="T36" ca="1">_xll.BDP($BD$1,"ud gp est gaap eps","eqy fund per=A","eqy fund year",RIGHT($BB$36,4))</f>
        <v>#NAME?</v>
      </c>
      <c r="U36" s="89" t="str">
        <f t="shared" ca="1" si="10"/>
        <v/>
      </c>
      <c r="V36" s="797" t="str">
        <f ca="1">IFERROR(U36/C108*100,"")</f>
        <v/>
      </c>
      <c r="W36" s="688" t="e">
        <f t="shared" ca="1" si="12"/>
        <v>#NAME?</v>
      </c>
      <c r="X36" s="706" t="str">
        <f t="shared" ca="1" si="13"/>
        <v/>
      </c>
      <c r="Y36" s="752"/>
      <c r="Z36" s="753"/>
      <c r="AA36" s="688" t="e">
        <f t="array" aca="1" ref="AA36" ca="1">_xll.BDP($BD$1,"ud gp est ebit3","eqy fund per=A","eqy fund year",RIGHT($BB$36,4))/$BG$4</f>
        <v>#NAME?</v>
      </c>
      <c r="AB36" s="797" t="str">
        <f t="shared" ca="1" si="16"/>
        <v/>
      </c>
      <c r="AC36" s="715" t="e">
        <f t="array" aca="1" ref="AC36" ca="1">_xll.BDP($BD$1,"ud gp est eps v2","be997",RIGHT($BB36,4)&amp;"Y")*1</f>
        <v>#NAME?</v>
      </c>
      <c r="AD36" s="181" t="e">
        <f ca="1">AE36/AC36</f>
        <v>#NAME?</v>
      </c>
      <c r="AE36" s="720" t="e">
        <f t="array" aca="1" ref="AE36" ca="1">_xll.BDP($BD$1,"ud gp est dps","eqy fund per=A","eqy fund year",RIGHT($BB$36,4))</f>
        <v>#NAME?</v>
      </c>
      <c r="AF36" s="798" t="e">
        <f ca="1">AE36/AY36*100</f>
        <v>#NAME?</v>
      </c>
      <c r="AG36" s="876" t="e">
        <f ca="1">BA36</f>
        <v>#NAME?</v>
      </c>
      <c r="AH36" s="837" t="e">
        <f ca="1">AY36/T36</f>
        <v>#NAME?</v>
      </c>
      <c r="AI36" s="837" t="e">
        <f ca="1">AY36/X36</f>
        <v>#NAME?</v>
      </c>
      <c r="AJ36" s="837" t="e">
        <f ca="1">AY36/AC36</f>
        <v>#NAME?</v>
      </c>
      <c r="AK36" s="685" t="s">
        <v>769</v>
      </c>
      <c r="AL36" s="874" t="str">
        <f ca="1">IFERROR(BS36/F36,"")</f>
        <v/>
      </c>
      <c r="AM36" s="685" t="s">
        <v>769</v>
      </c>
      <c r="AN36" s="797" t="str">
        <f t="shared" ca="1" si="23"/>
        <v/>
      </c>
      <c r="AO36" s="797" t="str">
        <f ca="1">IFERROR(BS36/AA36,"")</f>
        <v/>
      </c>
      <c r="AP36" s="685" t="s">
        <v>769</v>
      </c>
      <c r="AQ36" s="797" t="str">
        <f ca="1">IFERROR(BS36/B36,"")</f>
        <v/>
      </c>
      <c r="AR36" s="797" t="str">
        <f ca="1">IFERROR(AY36/BX36,"")</f>
        <v/>
      </c>
      <c r="AS36" s="798" t="str">
        <f ca="1">IFERROR(BV36/BS36*100,"")</f>
        <v/>
      </c>
      <c r="AU36" s="467"/>
      <c r="AV36" s="468"/>
      <c r="AW36" s="469"/>
      <c r="AX36" s="877" t="str">
        <f ca="1">IFERROR(BS36/BV36,"")</f>
        <v/>
      </c>
      <c r="AY36" s="468" t="e">
        <f t="array" aca="1" ref="AY36" ca="1">_xll.BDP($BD$1,"ud gp target price","eqy fund per=A","eqy fund year",RIGHT($BB$36,4))</f>
        <v>#NAME?</v>
      </c>
      <c r="AZ36" s="470" t="e">
        <f ca="1">AY36</f>
        <v>#NAME?</v>
      </c>
      <c r="BA36" s="468" t="e">
        <f ca="1">IF(OR($BJ$3=$CE$1,$BJ$3=$CE$2,$BJ$3=$CE$3),$BA$28*AZ36*100,$BA$28*AZ36)</f>
        <v>#NAME?</v>
      </c>
      <c r="BB36" s="471" t="e">
        <f t="array" aca="1" ref="BB36" ca="1">_xll.BDP(BD1, "BEST_PERIOD_END_DATE", "BEST_FPERIOD_OVERRIDE","5FY")</f>
        <v>#NAME?</v>
      </c>
      <c r="BC36" s="878" t="e">
        <f t="array" aca="1" ref="BC36" ca="1">_xll.BDP($BD$1,"ud gp est shrs","eqy fund per=A","eqy fund year",RIGHT($BB$36,4))/$BG$5</f>
        <v>#NAME?</v>
      </c>
      <c r="BD36" s="358"/>
      <c r="BE36" s="359" t="str">
        <f>A36</f>
        <v>FY5</v>
      </c>
      <c r="BF36" s="360" t="e">
        <f t="array" aca="1" ref="BF36" ca="1">_xll.BDP($BD$1,"ud gp est ncnita","eqy fund per=A","eqy fund year",RIGHT($BB$36,4))/$BG$4</f>
        <v>#NAME?</v>
      </c>
      <c r="BG36" s="361"/>
      <c r="BH36" s="762"/>
      <c r="BI36" s="762"/>
      <c r="BJ36" s="762"/>
      <c r="BK36" s="762"/>
      <c r="BL36" s="762"/>
      <c r="BM36" s="362"/>
      <c r="BN36" s="358"/>
      <c r="BO36" s="855" t="e">
        <f t="array" aca="1" ref="BO36" ca="1">_xll.BDP($BD$1,"ud gp est shrs","eqy fund per=A","eqy fund year",RIGHT($BB$36,4))/$BG$4</f>
        <v>#NAME?</v>
      </c>
      <c r="BP36" s="762"/>
      <c r="BQ36" s="332" t="e">
        <f t="array" aca="1" ref="BQ36" ca="1">_xll.BDP($BD$1,"ud gp est ev adj","eqy fund per=A","eqy fund year",RIGHT($BB$36,4))/$BG$4</f>
        <v>#NAME?</v>
      </c>
      <c r="BR36" s="362"/>
      <c r="BS36" s="372" t="e">
        <f ca="1">IF($BI$8="MLN",S36*AZ36+BQ36,IF($BI$8="BLN",((S36*AZ36)/$BG$11)+BQ36,IF($BI$8="TRN",((S36*AZ36)/$BG$11)+BQ36,"")))</f>
        <v>#NAME?</v>
      </c>
      <c r="BT36" s="332" t="e">
        <f t="array" aca="1" ref="BT36" ca="1">_xll.BDP($BD$1,"ud gp est equity","eqy fund per=A","eqy fund year",RIGHT($BB$36,4))/$BG$4</f>
        <v>#NAME?</v>
      </c>
      <c r="BU36" s="332" t="e">
        <f t="array" aca="1" ref="BU36" ca="1">_xll.BDP($BD$1,"ud gp est tang equity","eqy fund per=A","eqy fund year",RIGHT($BB$36,4))/$BG$4</f>
        <v>#NAME?</v>
      </c>
      <c r="BV36" s="332" t="e">
        <f t="array" aca="1" ref="BV36" ca="1">_xll.BDP($BD$1,"ud gp est fcf","eqy fund per=A","eqy fund year",RIGHT($BB$36,4))/$BG$4</f>
        <v>#NAME?</v>
      </c>
      <c r="BW36" s="762"/>
      <c r="BX36" s="855" t="e">
        <f ca="1">BT36/BO36</f>
        <v>#NAME?</v>
      </c>
      <c r="BY36" s="865" t="e">
        <f ca="1">BU36/BO36</f>
        <v>#NAME?</v>
      </c>
      <c r="CW36" s="384" t="e">
        <f t="array" aca="1" ref="CW36" ca="1">_xll.BDP($BD$1,"ud gp est ebitda","eqy fund per=A","eqy fund year",RIGHT($BB$36,4))/$BG$4</f>
        <v>#NAME?</v>
      </c>
      <c r="CX36" s="762"/>
      <c r="CY36" s="332" t="e">
        <f ca="1">H108</f>
        <v>#NAME?</v>
      </c>
      <c r="CZ36" s="332"/>
      <c r="DA36" s="855" t="e">
        <f ca="1">DA41/$BG$4</f>
        <v>#NAME?</v>
      </c>
      <c r="DB36" s="879" t="str">
        <f ca="1">IF($CW$12=1,CW36,IF(OR($CX$12=1,$CY$12=1),CY36,""))</f>
        <v/>
      </c>
      <c r="DC36" s="880" t="e">
        <f t="array" aca="1" ref="DC36" ca="1">_xll.BDP($BD$1,"ud gp est ebit2","eqy fund per=A","eqy fund year",RIGHT($BB$36,4))/$BG$4</f>
        <v>#NAME?</v>
      </c>
      <c r="DD36" s="855" t="e">
        <f ca="1">DG36/$BG$4</f>
        <v>#NAME?</v>
      </c>
      <c r="DE36" s="762"/>
      <c r="DF36" s="855" t="e">
        <f ca="1">O108</f>
        <v>#NAME?</v>
      </c>
      <c r="DG36" s="855"/>
      <c r="DH36" s="855"/>
      <c r="DI36" s="879" t="e">
        <f ca="1">IF($DC$12=1,DC36,IF(OR($DF$12=1,$DG$12=1),DF36,""))</f>
        <v>#NAME?</v>
      </c>
      <c r="DJ36" s="393" t="e">
        <f t="array" aca="1" ref="DJ36" ca="1">_xll.BDP($BD$1,"ud gp est co eps v2","be997",RIGHT($BB36,4)&amp;"Y")</f>
        <v>#NAME?</v>
      </c>
      <c r="DK36" s="394" t="e">
        <f ca="1">AL108</f>
        <v>#NAME?</v>
      </c>
      <c r="DL36" s="395" t="e">
        <f t="array" aca="1" ref="DL36" ca="1">_xll.BDP($BD$1,"best affops","best fperiod override","5FY","best consolidated override",$CV$3,"eqy fund crncy",$B$13)</f>
        <v>#NAME?</v>
      </c>
      <c r="DM36" s="395" t="e">
        <f t="array" aca="1" ref="DM36" ca="1">_xll.BDP($BD$1,"best ffops","best fperiod override","5FY","best consolidated override",$CV$3,"eqy fund crncy",$B$13)</f>
        <v>#NAME?</v>
      </c>
      <c r="DN36" s="396" t="str">
        <f t="shared" ca="1" si="63"/>
        <v/>
      </c>
      <c r="DX36" t="s">
        <v>785</v>
      </c>
      <c r="DY36" s="2" t="s">
        <v>786</v>
      </c>
      <c r="DZ36" s="695">
        <v>0.15</v>
      </c>
    </row>
    <row r="37" spans="1:130" ht="16" customHeight="1" thickBot="1">
      <c r="A37" s="686"/>
      <c r="B37" s="86"/>
      <c r="C37" s="103" t="s">
        <v>787</v>
      </c>
      <c r="D37" s="86"/>
      <c r="E37" s="86"/>
      <c r="F37" s="86"/>
      <c r="G37" s="86"/>
      <c r="H37" s="86"/>
      <c r="I37" s="86"/>
      <c r="J37" s="103"/>
      <c r="K37" s="76"/>
      <c r="L37" s="86"/>
      <c r="M37" s="86"/>
      <c r="N37" s="86"/>
      <c r="O37" s="86"/>
      <c r="P37" s="86"/>
      <c r="Q37" s="86"/>
      <c r="R37" s="88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104"/>
      <c r="AH37" s="104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  <c r="AU37" s="46"/>
      <c r="AV37" s="46"/>
      <c r="AW37" s="46"/>
      <c r="AX37" s="86"/>
      <c r="AY37" s="46"/>
      <c r="AZ37" s="46"/>
      <c r="BA37" s="46"/>
      <c r="BC37" s="46"/>
      <c r="BF37" s="20"/>
      <c r="BZ37" s="21"/>
      <c r="DX37" t="s">
        <v>788</v>
      </c>
      <c r="DY37" s="2" t="s">
        <v>789</v>
      </c>
      <c r="DZ37" s="695">
        <v>0</v>
      </c>
    </row>
    <row r="38" spans="1:130" ht="16" customHeight="1">
      <c r="A38" s="105" t="s">
        <v>790</v>
      </c>
      <c r="B38" s="881">
        <f>IFERROR(((B30/B20)^(1/10)-1)*100,"")</f>
        <v>8.5461407966256573</v>
      </c>
      <c r="C38" s="882">
        <f>IFERROR(((BY65/BY55)^(1/10)-1)*100,"")</f>
        <v>7.4918642047114847</v>
      </c>
      <c r="D38" s="85"/>
      <c r="E38" s="85"/>
      <c r="F38" s="846">
        <f>IFERROR(((F30/F20)^(1/10)-1)*100,"")</f>
        <v>23.946712888355172</v>
      </c>
      <c r="G38" s="85"/>
      <c r="H38" s="881">
        <f>IFERROR(((H30/H20)^(1/10)-1)*100,"")</f>
        <v>27.457661861674154</v>
      </c>
      <c r="I38" s="106"/>
      <c r="J38" s="882"/>
      <c r="K38" s="85"/>
      <c r="L38" s="846">
        <f>IFERROR(((L30/L20)^(1/10)-1)*100,"")</f>
        <v>26.917040417405168</v>
      </c>
      <c r="M38" s="846"/>
      <c r="N38" s="846"/>
      <c r="O38" s="846">
        <f>IFERROR(((O30/O20)^(1/10)-1)*100,"")</f>
        <v>27.075718443698847</v>
      </c>
      <c r="P38" s="85"/>
      <c r="Q38" s="85"/>
      <c r="R38" s="881">
        <f>IFERROR(((R30/R20)^(1/10)-1)*100,"")</f>
        <v>27.164309686453734</v>
      </c>
      <c r="S38" s="846">
        <f>IFERROR(((S30/S20)^(1/10)-1)*100,"")</f>
        <v>0.98079663955439322</v>
      </c>
      <c r="T38" s="846">
        <f>IFERROR(((T30/T20)^(1/10)-1)*100,"")</f>
        <v>26.353314935113904</v>
      </c>
      <c r="U38" s="881" t="str">
        <f ca="1">IFERROR(((U30/U20)^(1/10)-1)*100,"")</f>
        <v/>
      </c>
      <c r="V38" s="846"/>
      <c r="W38" s="846" t="str">
        <f ca="1">IFERROR(((W30/W20)^(1/10)-1)*100,"")</f>
        <v/>
      </c>
      <c r="X38" s="845" t="str">
        <f ca="1">IFERROR(((X30/X20)^(1/10)-1)*100,"")</f>
        <v/>
      </c>
      <c r="Y38" s="85"/>
      <c r="Z38" s="846"/>
      <c r="AA38" s="846" t="str">
        <f ca="1">IFERROR(((AA30/AA20)^(1/10)-1)*100,"")</f>
        <v/>
      </c>
      <c r="AB38" s="846"/>
      <c r="AC38" s="845" t="str">
        <f ca="1">IFERROR(((AC30/AC20)^(1/10)-1)*100,"")</f>
        <v/>
      </c>
      <c r="AD38" s="85"/>
      <c r="AE38" s="846">
        <f>IFERROR(((AE30/AE20)^(1/10)-1)*100,"")</f>
        <v>34.237965096210488</v>
      </c>
      <c r="AF38" s="845"/>
      <c r="AG38" s="846">
        <f>IFERROR(((AG30/AG20)^(1/10)-1)*100,"")</f>
        <v>48.659575417309675</v>
      </c>
      <c r="AH38" s="107" t="s">
        <v>791</v>
      </c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9"/>
      <c r="AU38" s="883">
        <f>IFERROR(((AU30/AU20)^(1/10)-1)*100,"")</f>
        <v>6.3379372679135404</v>
      </c>
      <c r="AV38" s="884">
        <f>IFERROR(((AV30/AV20)^(1/10)-1)*100,"")</f>
        <v>23.782231797939414</v>
      </c>
      <c r="AW38" s="885">
        <f>IFERROR(((AW30/AW20)^(1/10)-1)*100,"")</f>
        <v>45.422130789599805</v>
      </c>
      <c r="AX38" s="171"/>
      <c r="AY38" s="886">
        <f>IFERROR(((AY30/AY20)^(1/10)-1)*100,"")</f>
        <v>48.659575417309675</v>
      </c>
      <c r="AZ38" s="46"/>
      <c r="BA38" s="46"/>
      <c r="BC38" s="886">
        <f>IFERROR(((BC30/BC20)^(1/10)-1)*100,"")</f>
        <v>0.37157019028186689</v>
      </c>
      <c r="BD38" s="163"/>
      <c r="BO38" s="821"/>
      <c r="CZ38" s="177" t="e">
        <f ca="1">_xll.BDH(BD1,CW15,"-1fs","","dts=h","fund per=s","per=fs")</f>
        <v>#NAME?</v>
      </c>
      <c r="DA38" s="169" t="e">
        <f ca="1">_xll.BDH(BD1,CW15,"-3fq","","dts=h","fund per=q","per=q")</f>
        <v>#NAME?</v>
      </c>
      <c r="DJ38" s="40" t="s">
        <v>792</v>
      </c>
      <c r="DK38" s="5" t="s">
        <v>793</v>
      </c>
      <c r="DL38" s="747" t="s">
        <v>794</v>
      </c>
      <c r="DM38" s="5" t="s">
        <v>795</v>
      </c>
      <c r="DN38" s="41" t="s">
        <v>796</v>
      </c>
      <c r="DX38" t="s">
        <v>797</v>
      </c>
      <c r="DY38" s="2" t="s">
        <v>798</v>
      </c>
      <c r="DZ38" s="695">
        <v>0.25</v>
      </c>
    </row>
    <row r="39" spans="1:130" ht="16" customHeight="1">
      <c r="A39" s="110" t="s">
        <v>799</v>
      </c>
      <c r="B39" s="887">
        <f>IFERROR(((B30/B25)^(1/5)-1)*100,"")</f>
        <v>1.9625771083821686</v>
      </c>
      <c r="C39" s="888">
        <f>IFERROR(((BY65/BY60)^(1/5)-1)*100,"")</f>
        <v>2.4392912362101393</v>
      </c>
      <c r="D39" s="86"/>
      <c r="E39" s="86"/>
      <c r="F39" s="775">
        <f>IFERROR(((F30/F25)^(1/5)-1)*100,"")</f>
        <v>4.9578972352042339</v>
      </c>
      <c r="G39" s="86"/>
      <c r="H39" s="887">
        <f>IFERROR(((H30/H25)^(1/5)-1)*100,"")</f>
        <v>4.3189189594563526</v>
      </c>
      <c r="I39" s="111"/>
      <c r="J39" s="888"/>
      <c r="K39" s="86"/>
      <c r="L39" s="775">
        <f>IFERROR(((L30/L25)^(1/5)-1)*100,"")</f>
        <v>6.0346351479320326</v>
      </c>
      <c r="M39" s="775"/>
      <c r="N39" s="775"/>
      <c r="O39" s="775">
        <f>IFERROR(((O30/O25)^(1/5)-1)*100,"")</f>
        <v>5.3815877309655313</v>
      </c>
      <c r="P39" s="86"/>
      <c r="Q39" s="86"/>
      <c r="R39" s="887">
        <f>IFERROR(((R30/R25)^(1/5)-1)*100,"")</f>
        <v>5.3815877309655313</v>
      </c>
      <c r="S39" s="775">
        <f>IFERROR(((S30/S25)^(1/5)-1)*100,"")</f>
        <v>-0.46536257921655499</v>
      </c>
      <c r="T39" s="775">
        <f>IFERROR(((T30/T25)^(1/5)-1)*100,"")</f>
        <v>5.8276412125133126</v>
      </c>
      <c r="U39" s="887" t="str">
        <f ca="1">IFERROR(((U30/U25)^(1/5)-1)*100,"")</f>
        <v/>
      </c>
      <c r="V39" s="775"/>
      <c r="W39" s="775">
        <f ca="1">IFERROR(((W30/W25)^(1/5)-1)*100,"")</f>
        <v>4.1547615031247265</v>
      </c>
      <c r="X39" s="813" t="str">
        <f ca="1">IFERROR(((X30/X25)^(1/5)-1)*100,"")</f>
        <v/>
      </c>
      <c r="Y39" s="86"/>
      <c r="Z39" s="775"/>
      <c r="AA39" s="775" t="str">
        <f ca="1">IFERROR(((AA30/AA25)^(1/5)-1)*100,"")</f>
        <v/>
      </c>
      <c r="AB39" s="775"/>
      <c r="AC39" s="813" t="str">
        <f ca="1">IFERROR(((AC30/AC25)^(1/5)-1)*100,"")</f>
        <v/>
      </c>
      <c r="AD39" s="86"/>
      <c r="AE39" s="775">
        <f>IFERROR(((AE30/AE25)^(1/5)-1)*100,"")</f>
        <v>4.200877199856623</v>
      </c>
      <c r="AF39" s="813"/>
      <c r="AG39" s="775">
        <f>IFERROR(((AG30/AG25)^(1/5)-1)*100,"")</f>
        <v>55.650037589634735</v>
      </c>
      <c r="AH39" s="889" t="str">
        <f t="shared" ref="AH39:AS39" ca="1" si="71">IFERROR(AVERAGE(AH16:AH30),"")</f>
        <v/>
      </c>
      <c r="AI39" s="888" t="str">
        <f t="shared" ca="1" si="71"/>
        <v/>
      </c>
      <c r="AJ39" s="888" t="str">
        <f t="shared" ca="1" si="71"/>
        <v/>
      </c>
      <c r="AK39" s="888" t="str">
        <f t="shared" ca="1" si="71"/>
        <v/>
      </c>
      <c r="AL39" s="888" t="str">
        <f t="shared" ca="1" si="71"/>
        <v/>
      </c>
      <c r="AM39" s="888" t="str">
        <f t="shared" ca="1" si="71"/>
        <v/>
      </c>
      <c r="AN39" s="888" t="str">
        <f t="shared" ca="1" si="71"/>
        <v/>
      </c>
      <c r="AO39" s="888" t="str">
        <f t="shared" ca="1" si="71"/>
        <v/>
      </c>
      <c r="AP39" s="888" t="str">
        <f t="shared" ca="1" si="71"/>
        <v/>
      </c>
      <c r="AQ39" s="888" t="str">
        <f t="shared" ca="1" si="71"/>
        <v/>
      </c>
      <c r="AR39" s="888" t="str">
        <f t="shared" ca="1" si="71"/>
        <v/>
      </c>
      <c r="AS39" s="890" t="str">
        <f t="shared" ca="1" si="71"/>
        <v/>
      </c>
      <c r="AU39" s="891">
        <f>IFERROR(((AU30/AU25)^(1/5)-1)*100,"")</f>
        <v>0.18192127063743069</v>
      </c>
      <c r="AV39" s="892">
        <f>IFERROR(((AV30/AV25)^(1/5)-1)*100,"")</f>
        <v>3.9792766082679787</v>
      </c>
      <c r="AW39" s="893">
        <f>IFERROR(((AW30/AW25)^(1/5)-1)*100,"")</f>
        <v>54.580756528897354</v>
      </c>
      <c r="AX39" s="894" t="str">
        <f ca="1">IFERROR(AVERAGE(AX16:AX30),"")</f>
        <v/>
      </c>
      <c r="AY39" s="895">
        <f>IFERROR(((AY30/AY25)^(1/5)-1)*100,"")</f>
        <v>55.650037589634735</v>
      </c>
      <c r="AZ39" s="46"/>
      <c r="BA39" s="46"/>
      <c r="BC39" s="895">
        <f>IFERROR(((BC30/BC25)^(1/5)-1)*100,"")</f>
        <v>0.8109639651428191</v>
      </c>
      <c r="CZ39" s="9"/>
      <c r="DA39" s="10"/>
      <c r="DJ39" s="749"/>
      <c r="DK39" s="3" t="e">
        <f ca="1">_xll.BDH(BD1,"ud gp company eps","-3fq","","dts=h","fund per=q","per=q")</f>
        <v>#NAME?</v>
      </c>
      <c r="DL39" s="3" t="e">
        <f t="array" aca="1" ref="DL39" ca="1">_xll.BDP($BD$1,"ud gp company eps", "BEST_FPERIOD_OVERRIDE=-0fs")</f>
        <v>#NAME?</v>
      </c>
      <c r="DM39" s="3" t="e">
        <f ca="1">_xll.BDH(BD1,"ud gp eps","-3fq","","dts=h","fund per=q","per=q")</f>
        <v>#NAME?</v>
      </c>
      <c r="DN39" s="193" t="e">
        <f t="array" aca="1" ref="DN39" ca="1">_xll.BDP($BD$1,"ud gp eps", "BEST_FPERIOD_OVERRIDE=-0fs")</f>
        <v>#NAME?</v>
      </c>
      <c r="DX39" t="s">
        <v>800</v>
      </c>
      <c r="DY39" s="2" t="s">
        <v>801</v>
      </c>
      <c r="DZ39" s="695">
        <v>0.15</v>
      </c>
    </row>
    <row r="40" spans="1:130" ht="16" customHeight="1">
      <c r="A40" s="110" t="s">
        <v>802</v>
      </c>
      <c r="B40" s="887">
        <f>IFERROR(((B30/B27)^(1/3)-1)*100,"")</f>
        <v>10.108516233145902</v>
      </c>
      <c r="C40" s="888">
        <f>IFERROR(((BY65/BY62)^(1/3)-1)*100,"")</f>
        <v>10.538182849254675</v>
      </c>
      <c r="D40" s="86"/>
      <c r="E40" s="86"/>
      <c r="F40" s="775">
        <f>IFERROR(((F30/F27)^(1/3)-1)*100,"")</f>
        <v>12.257315718536233</v>
      </c>
      <c r="G40" s="86"/>
      <c r="H40" s="887">
        <f>IFERROR(((H30/H27)^(1/3)-1)*100,"")</f>
        <v>12.50300821427075</v>
      </c>
      <c r="I40" s="111"/>
      <c r="J40" s="888"/>
      <c r="K40" s="86"/>
      <c r="L40" s="775">
        <f>IFERROR(((L30/L27)^(1/3)-1)*100,"")</f>
        <v>14.732300557716748</v>
      </c>
      <c r="M40" s="775"/>
      <c r="N40" s="775"/>
      <c r="O40" s="775">
        <f>IFERROR(((O30/O27)^(1/3)-1)*100,"")</f>
        <v>10.213260623317488</v>
      </c>
      <c r="P40" s="86"/>
      <c r="Q40" s="86"/>
      <c r="R40" s="887">
        <f>IFERROR(((R30/R27)^(1/3)-1)*100,"")</f>
        <v>10.213260623317488</v>
      </c>
      <c r="S40" s="775">
        <f>IFERROR(((S30/S27)^(1/3)-1)*100,"")</f>
        <v>-0.38870425135786313</v>
      </c>
      <c r="T40" s="775">
        <f>IFERROR(((T30/T27)^(1/3)-1)*100,"")</f>
        <v>10.119136522528095</v>
      </c>
      <c r="U40" s="887" t="str">
        <f ca="1">IFERROR(((U30/U27)^(1/3)-1)*100,"")</f>
        <v/>
      </c>
      <c r="V40" s="775"/>
      <c r="W40" s="775">
        <f ca="1">IFERROR(((W30/W27)^(1/3)-1)*100,"")</f>
        <v>12.494406143699877</v>
      </c>
      <c r="X40" s="813" t="str">
        <f ca="1">IFERROR(((X30/X27)^(1/3)-1)*100,"")</f>
        <v/>
      </c>
      <c r="Y40" s="86"/>
      <c r="Z40" s="775"/>
      <c r="AA40" s="775" t="str">
        <f ca="1">IFERROR(((AA30/AA27)^(1/3)-1)*100,"")</f>
        <v/>
      </c>
      <c r="AB40" s="775"/>
      <c r="AC40" s="813" t="str">
        <f ca="1">IFERROR(((AC30/AC27)^(1/3)-1)*100,"")</f>
        <v/>
      </c>
      <c r="AD40" s="86"/>
      <c r="AE40" s="775">
        <f>IFERROR(((AE30/AE27)^(1/3)-1)*100,"")</f>
        <v>41.310520285899209</v>
      </c>
      <c r="AF40" s="813"/>
      <c r="AG40" s="775">
        <f>IFERROR(((AG30/AG27)^(1/3)-1)*100,"")</f>
        <v>45.908893214760596</v>
      </c>
      <c r="AH40" s="889" t="str">
        <f t="shared" ref="AH40:AS40" ca="1" si="72">IFERROR(MEDIAN(AH16:AH30),"")</f>
        <v/>
      </c>
      <c r="AI40" s="888" t="str">
        <f t="shared" ca="1" si="72"/>
        <v/>
      </c>
      <c r="AJ40" s="888" t="str">
        <f t="shared" ca="1" si="72"/>
        <v/>
      </c>
      <c r="AK40" s="888" t="str">
        <f t="shared" ca="1" si="72"/>
        <v/>
      </c>
      <c r="AL40" s="888" t="str">
        <f t="shared" ca="1" si="72"/>
        <v/>
      </c>
      <c r="AM40" s="888" t="str">
        <f t="shared" ca="1" si="72"/>
        <v/>
      </c>
      <c r="AN40" s="888" t="str">
        <f t="shared" ca="1" si="72"/>
        <v/>
      </c>
      <c r="AO40" s="888" t="str">
        <f t="shared" ca="1" si="72"/>
        <v/>
      </c>
      <c r="AP40" s="888" t="str">
        <f t="shared" ca="1" si="72"/>
        <v/>
      </c>
      <c r="AQ40" s="888" t="str">
        <f t="shared" ca="1" si="72"/>
        <v/>
      </c>
      <c r="AR40" s="888" t="str">
        <f t="shared" ca="1" si="72"/>
        <v/>
      </c>
      <c r="AS40" s="890" t="str">
        <f t="shared" ca="1" si="72"/>
        <v/>
      </c>
      <c r="AU40" s="891">
        <f>IFERROR(((AU30/AU27)^(1/3)-1)*100,"")</f>
        <v>8.1381623472274622</v>
      </c>
      <c r="AV40" s="892">
        <f>IFERROR(((AV30/AV27)^(1/3)-1)*100,"")</f>
        <v>8.1482861376802163</v>
      </c>
      <c r="AW40" s="893">
        <f>IFERROR(((AW30/AW27)^(1/3)-1)*100,"")</f>
        <v>41.135492513911778</v>
      </c>
      <c r="AX40" s="894" t="str">
        <f ca="1">IFERROR(MEDIAN(AX16:AX30),"")</f>
        <v/>
      </c>
      <c r="AY40" s="895">
        <f>IFERROR(((AY30/AY27)^(1/3)-1)*100,"")</f>
        <v>45.908893214760596</v>
      </c>
      <c r="AZ40" s="46"/>
      <c r="BA40" s="46"/>
      <c r="BC40" s="895">
        <f>IFERROR(((BC30/BC27)^(1/3)-1)*100,"")</f>
        <v>2.2511073496336964</v>
      </c>
      <c r="CZ40" s="749"/>
      <c r="DA40" s="10"/>
      <c r="DJ40" s="749"/>
      <c r="DK40" s="3"/>
      <c r="DL40" s="3" t="e">
        <f t="array" aca="1" ref="DL40" ca="1">_xll.BDP($BD$1,"ud gp company eps", "BEST_FPERIOD_OVERRIDE=-1fs")</f>
        <v>#NAME?</v>
      </c>
      <c r="DM40" s="3"/>
      <c r="DN40" s="193" t="e">
        <f t="array" aca="1" ref="DN40" ca="1">_xll.BDP($BD$1,"ud gp eps", "BEST_FPERIOD_OVERRIDE=-1fs")</f>
        <v>#NAME?</v>
      </c>
      <c r="DX40" t="s">
        <v>803</v>
      </c>
      <c r="DY40" s="2" t="s">
        <v>449</v>
      </c>
      <c r="DZ40" s="695">
        <v>0.1</v>
      </c>
    </row>
    <row r="41" spans="1:130" ht="16" customHeight="1" thickBot="1">
      <c r="A41" s="112" t="s">
        <v>804</v>
      </c>
      <c r="B41" s="896">
        <f>IFERROR((B30/B29-1)*100,"")</f>
        <v>-19.921700997413094</v>
      </c>
      <c r="C41" s="897">
        <f>IFERROR((BY65/BY64-1)*100,"")</f>
        <v>-17.2854130219933</v>
      </c>
      <c r="D41" s="90"/>
      <c r="E41" s="90"/>
      <c r="F41" s="837">
        <f>IFERROR((F30/F29-1)*100,"")</f>
        <v>-24.592252481804312</v>
      </c>
      <c r="G41" s="90"/>
      <c r="H41" s="896">
        <f>IFERROR((H30/H29-1)*100,"")</f>
        <v>-27.446313699356718</v>
      </c>
      <c r="I41" s="113"/>
      <c r="J41" s="888"/>
      <c r="K41" s="86"/>
      <c r="L41" s="775">
        <f>IFERROR((L30/L29-1)*100,"")</f>
        <v>-24.611056662673793</v>
      </c>
      <c r="M41" s="775"/>
      <c r="N41" s="775"/>
      <c r="O41" s="775">
        <f>IFERROR((O30/O29-1)*100,"")</f>
        <v>-26.413377270441764</v>
      </c>
      <c r="P41" s="86"/>
      <c r="Q41" s="86"/>
      <c r="R41" s="896">
        <f>IFERROR((R30/R29-1)*100,"")</f>
        <v>-26.413377270441764</v>
      </c>
      <c r="S41" s="837">
        <f>IFERROR((S30/S29-1)*100,"")</f>
        <v>-3.187210468838797</v>
      </c>
      <c r="T41" s="837">
        <f>IFERROR((T30/T29-1)*100,"")</f>
        <v>-23.103448275862071</v>
      </c>
      <c r="U41" s="896" t="str">
        <f ca="1">IFERROR((U30/U29-1)*100,"")</f>
        <v/>
      </c>
      <c r="V41" s="837"/>
      <c r="W41" s="837">
        <f ca="1">IFERROR((W30/W29-1)*100,"")</f>
        <v>-27.439646378782733</v>
      </c>
      <c r="X41" s="898" t="str">
        <f ca="1">IFERROR((X30/X29-1)*100,"")</f>
        <v/>
      </c>
      <c r="Y41" s="90"/>
      <c r="Z41" s="837"/>
      <c r="AA41" s="837" t="str">
        <f ca="1">IFERROR((AA30/AA29-1)*100,"")</f>
        <v/>
      </c>
      <c r="AB41" s="837"/>
      <c r="AC41" s="898" t="str">
        <f ca="1">IFERROR((AC30/AC29-1)*100,"")</f>
        <v/>
      </c>
      <c r="AD41" s="90"/>
      <c r="AE41" s="837">
        <f>IFERROR((AE30/AE29-1)*100,"")</f>
        <v>-14.414414414414411</v>
      </c>
      <c r="AF41" s="898"/>
      <c r="AG41" s="837">
        <f>IFERROR((AG30/AG29-1)*100,"")</f>
        <v>149.91517422339254</v>
      </c>
      <c r="AH41" s="114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6"/>
      <c r="AU41" s="899">
        <f>IFERROR((AU30/AU29-1)*100,"")</f>
        <v>-17.77383349490329</v>
      </c>
      <c r="AV41" s="900">
        <f>IFERROR((AV30/AV29-1)*100,"")</f>
        <v>-21.041086920936326</v>
      </c>
      <c r="AW41" s="901">
        <f>IFERROR((AW30/AW29-1)*100,"")</f>
        <v>158.15167301472991</v>
      </c>
      <c r="AX41" s="172"/>
      <c r="AY41" s="902">
        <f>IFERROR((AY30/AY29-1)*100,"")</f>
        <v>149.91517422339254</v>
      </c>
      <c r="AZ41" s="46"/>
      <c r="BA41" s="46"/>
      <c r="BC41" s="902">
        <f>IFERROR((BC30/BC29-1)*100,"")</f>
        <v>-2.2729393252420182</v>
      </c>
      <c r="CZ41" s="752"/>
      <c r="DA41" s="35"/>
      <c r="DJ41" s="749"/>
      <c r="DK41" s="3"/>
      <c r="DM41" s="3"/>
      <c r="DN41" s="194"/>
      <c r="DX41" t="s">
        <v>805</v>
      </c>
      <c r="DY41" s="2" t="s">
        <v>806</v>
      </c>
      <c r="DZ41" s="695">
        <v>0</v>
      </c>
    </row>
    <row r="42" spans="1:130" ht="16" customHeight="1">
      <c r="A42" s="117" t="s">
        <v>807</v>
      </c>
      <c r="B42" s="881" t="str">
        <f ca="1">IFERROR(((B32-B30)/ABS(B30))*100,"")</f>
        <v/>
      </c>
      <c r="C42" s="846"/>
      <c r="D42" s="86"/>
      <c r="E42" s="85"/>
      <c r="F42" s="846" t="str">
        <f ca="1">IFERROR(((F32-F30)/ABS(F30))*100,"")</f>
        <v/>
      </c>
      <c r="G42" s="85"/>
      <c r="H42" s="881" t="str">
        <f ca="1">IFERROR(((H32-H30)/ABS(H30))*100,"")</f>
        <v/>
      </c>
      <c r="I42" s="85"/>
      <c r="J42" s="271"/>
      <c r="K42" s="272" t="str">
        <f t="shared" ref="K42:M47" si="73">AV102</f>
        <v>Co</v>
      </c>
      <c r="L42" s="903" t="e">
        <f t="shared" ca="1" si="73"/>
        <v>#NAME?</v>
      </c>
      <c r="M42" s="903" t="str">
        <f t="shared" si="73"/>
        <v>MSCI SC</v>
      </c>
      <c r="N42" s="903"/>
      <c r="O42" s="272" t="str">
        <f>K42</f>
        <v>Co</v>
      </c>
      <c r="P42" s="272" t="e">
        <f ca="1">L42</f>
        <v>#NAME?</v>
      </c>
      <c r="Q42" s="273" t="str">
        <f>M42</f>
        <v>MSCI SC</v>
      </c>
      <c r="R42" s="846" t="str">
        <f ca="1">IFERROR(((R32-R30)/ABS(R30))*100,"")</f>
        <v/>
      </c>
      <c r="S42" s="846" t="str">
        <f ca="1">IFERROR(((S32-S30)/ABS(S30))*100,"")</f>
        <v/>
      </c>
      <c r="T42" s="845" t="str">
        <f ca="1">IFERROR(((T32-T30)/ABS(T30))*100,"")</f>
        <v/>
      </c>
      <c r="U42" s="846" t="str">
        <f ca="1">IFERROR(((U32-U30)/ABS(U30))*100,"")</f>
        <v/>
      </c>
      <c r="V42" s="846"/>
      <c r="W42" s="846" t="str">
        <f ca="1">IFERROR(((W32-W30)/ABS(W30))*100,"")</f>
        <v/>
      </c>
      <c r="X42" s="845" t="str">
        <f ca="1">IFERROR(((X32-X30)/ABS(X30))*100,"")</f>
        <v/>
      </c>
      <c r="Y42" s="846"/>
      <c r="Z42" s="846"/>
      <c r="AA42" s="846" t="str">
        <f ca="1">IFERROR(((AA32-AA30)/ABS(AA30))*100,"")</f>
        <v/>
      </c>
      <c r="AC42" s="845" t="str">
        <f ca="1">IFERROR(((AC32-AC30)/ABS(AC30))*100,"")</f>
        <v/>
      </c>
      <c r="AD42" s="846"/>
      <c r="AE42" s="846" t="str">
        <f ca="1">IFERROR(((AE32-AE30)/ABS(AE30))*100,"")</f>
        <v/>
      </c>
      <c r="AF42" s="845"/>
      <c r="AG42" s="846" t="str">
        <f t="shared" ref="AG42:AL42" ca="1" si="74">IFERROR(((AG32-AG30)/ABS(AG30))*100,"")</f>
        <v/>
      </c>
      <c r="AH42" s="775" t="str">
        <f t="shared" ca="1" si="74"/>
        <v/>
      </c>
      <c r="AI42" s="775" t="str">
        <f t="shared" ca="1" si="74"/>
        <v/>
      </c>
      <c r="AJ42" s="775" t="str">
        <f t="shared" ca="1" si="74"/>
        <v/>
      </c>
      <c r="AK42" s="775" t="str">
        <f t="shared" ca="1" si="74"/>
        <v/>
      </c>
      <c r="AL42" s="775" t="str">
        <f t="shared" ca="1" si="74"/>
        <v/>
      </c>
      <c r="AM42" s="775"/>
      <c r="AN42" s="775" t="str">
        <f t="shared" ref="AN42:AS42" ca="1" si="75">IFERROR(((AN32-AN30)/ABS(AN30))*100,"")</f>
        <v/>
      </c>
      <c r="AO42" s="775" t="str">
        <f t="shared" ca="1" si="75"/>
        <v/>
      </c>
      <c r="AP42" s="775" t="str">
        <f t="shared" ca="1" si="75"/>
        <v/>
      </c>
      <c r="AQ42" s="775" t="str">
        <f t="shared" ca="1" si="75"/>
        <v/>
      </c>
      <c r="AR42" s="775" t="str">
        <f t="shared" ca="1" si="75"/>
        <v/>
      </c>
      <c r="AS42" s="904" t="str">
        <f t="shared" ca="1" si="75"/>
        <v/>
      </c>
      <c r="AU42" s="883"/>
      <c r="AV42" s="884"/>
      <c r="AW42" s="885"/>
      <c r="AX42" s="813" t="str">
        <f ca="1">IFERROR(((AX32-AX30)/ABS(AX30))*100,"")</f>
        <v/>
      </c>
      <c r="AY42" s="886" t="str">
        <f ca="1">IFERROR(((AY32-AY30)/ABS(AY30))*100,"")</f>
        <v/>
      </c>
      <c r="AZ42" s="46"/>
      <c r="BA42" s="46"/>
      <c r="BC42" s="886"/>
      <c r="DJ42" s="752"/>
      <c r="DK42" s="6"/>
      <c r="DL42" s="753"/>
      <c r="DM42" s="6"/>
      <c r="DN42" s="195"/>
      <c r="DX42" t="s">
        <v>808</v>
      </c>
      <c r="DY42" s="2" t="s">
        <v>809</v>
      </c>
      <c r="DZ42" s="695">
        <v>0</v>
      </c>
    </row>
    <row r="43" spans="1:130" ht="16" customHeight="1">
      <c r="A43" s="112" t="s">
        <v>810</v>
      </c>
      <c r="B43" s="896" t="str">
        <f ca="1">IFERROR(((B33-B32)/ABS(B32))*100,"")</f>
        <v/>
      </c>
      <c r="C43" s="837"/>
      <c r="D43" s="837"/>
      <c r="E43" s="90"/>
      <c r="F43" s="837" t="str">
        <f ca="1">IFERROR(((F33-F32)/ABS(F32))*100,"")</f>
        <v/>
      </c>
      <c r="G43" s="90"/>
      <c r="H43" s="896" t="str">
        <f ca="1">IFERROR(((H33-H32)/ABS(H32))*100,"")</f>
        <v/>
      </c>
      <c r="I43" s="90"/>
      <c r="J43" s="274" t="str">
        <f>AU103</f>
        <v>ROA</v>
      </c>
      <c r="K43" s="806" t="e">
        <f t="shared" ca="1" si="73"/>
        <v>#NAME?</v>
      </c>
      <c r="L43" s="806" t="e">
        <f t="shared" ca="1" si="73"/>
        <v>#NAME?</v>
      </c>
      <c r="M43" s="806" t="e">
        <f t="shared" ca="1" si="73"/>
        <v>#NAME?</v>
      </c>
      <c r="N43" s="269" t="str">
        <f t="shared" ref="N43:Q44" si="76">AU108</f>
        <v>P/E</v>
      </c>
      <c r="O43" s="806" t="e">
        <f t="shared" ca="1" si="76"/>
        <v>#NAME?</v>
      </c>
      <c r="P43" s="806" t="e">
        <f t="shared" ca="1" si="76"/>
        <v>#NAME?</v>
      </c>
      <c r="Q43" s="905" t="e">
        <f t="shared" ca="1" si="76"/>
        <v>#NAME?</v>
      </c>
      <c r="R43" s="837" t="str">
        <f ca="1">IFERROR(((R33-R32)/ABS(R32))*100,"")</f>
        <v/>
      </c>
      <c r="S43" s="837" t="str">
        <f ca="1">IFERROR(((S33-S32)/ABS(S32))*100,"")</f>
        <v/>
      </c>
      <c r="T43" s="898" t="str">
        <f ca="1">IFERROR(((T33-T32)/ABS(T32))*100,"")</f>
        <v/>
      </c>
      <c r="U43" s="837" t="str">
        <f ca="1">IFERROR(((U33-U32)/ABS(U32))*100,"")</f>
        <v/>
      </c>
      <c r="V43" s="837"/>
      <c r="W43" s="837" t="str">
        <f ca="1">IFERROR(((W33-W32)/ABS(W32))*100,"")</f>
        <v/>
      </c>
      <c r="X43" s="898" t="str">
        <f ca="1">IFERROR(((X33-X32)/ABS(X32))*100,"")</f>
        <v/>
      </c>
      <c r="Y43" s="837"/>
      <c r="Z43" s="837"/>
      <c r="AA43" s="837" t="str">
        <f ca="1">IFERROR(((AA33-AA32)/ABS(AA32))*100,"")</f>
        <v/>
      </c>
      <c r="AB43" s="753"/>
      <c r="AC43" s="898" t="str">
        <f ca="1">IFERROR(((AC33-AC32)/ABS(AC32))*100,"")</f>
        <v/>
      </c>
      <c r="AD43" s="837"/>
      <c r="AE43" s="837" t="str">
        <f ca="1">IFERROR(((AE33-AE32)/ABS(AE32))*100,"")</f>
        <v/>
      </c>
      <c r="AF43" s="898"/>
      <c r="AG43" s="837" t="str">
        <f t="shared" ref="AG43:AL43" ca="1" si="77">IFERROR(((AG33-AG32)/ABS(AG32))*100,"")</f>
        <v/>
      </c>
      <c r="AH43" s="837" t="str">
        <f t="shared" ca="1" si="77"/>
        <v/>
      </c>
      <c r="AI43" s="837" t="str">
        <f t="shared" ca="1" si="77"/>
        <v/>
      </c>
      <c r="AJ43" s="837" t="str">
        <f t="shared" ca="1" si="77"/>
        <v/>
      </c>
      <c r="AK43" s="837" t="str">
        <f t="shared" si="77"/>
        <v/>
      </c>
      <c r="AL43" s="837" t="str">
        <f t="shared" ca="1" si="77"/>
        <v/>
      </c>
      <c r="AM43" s="837"/>
      <c r="AN43" s="837" t="str">
        <f t="shared" ref="AN43:AS43" ca="1" si="78">IFERROR(((AN33-AN32)/ABS(AN32))*100,"")</f>
        <v/>
      </c>
      <c r="AO43" s="837" t="str">
        <f t="shared" ca="1" si="78"/>
        <v/>
      </c>
      <c r="AP43" s="837" t="str">
        <f t="shared" si="78"/>
        <v/>
      </c>
      <c r="AQ43" s="837" t="str">
        <f t="shared" ca="1" si="78"/>
        <v/>
      </c>
      <c r="AR43" s="837" t="str">
        <f t="shared" ca="1" si="78"/>
        <v/>
      </c>
      <c r="AS43" s="898" t="str">
        <f t="shared" ca="1" si="78"/>
        <v/>
      </c>
      <c r="AU43" s="899"/>
      <c r="AV43" s="900"/>
      <c r="AW43" s="901"/>
      <c r="AX43" s="898" t="str">
        <f ca="1">IFERROR(((AX33-AX32)/ABS(AX32))*100,"")</f>
        <v/>
      </c>
      <c r="AY43" s="902" t="str">
        <f ca="1">IFERROR(((AY33-AY32)/ABS(AY32))*100,"")</f>
        <v/>
      </c>
      <c r="AZ43" s="46"/>
      <c r="BA43" s="46"/>
      <c r="BC43" s="902"/>
      <c r="DD43" s="3"/>
      <c r="DX43" t="s">
        <v>811</v>
      </c>
      <c r="DY43" s="2" t="s">
        <v>812</v>
      </c>
      <c r="DZ43" s="695">
        <v>0.1</v>
      </c>
    </row>
    <row r="44" spans="1:130" ht="16" customHeight="1">
      <c r="A44" s="117" t="s">
        <v>813</v>
      </c>
      <c r="B44" s="881" t="str">
        <f ca="1">IFERROR((((B36/B30)^(1/5))-1)*100,"")</f>
        <v/>
      </c>
      <c r="C44" s="846"/>
      <c r="D44" s="846"/>
      <c r="E44" s="85"/>
      <c r="F44" s="846" t="str">
        <f ca="1">IFERROR((((F36/F30)^(1/5))-1)*100,"")</f>
        <v/>
      </c>
      <c r="G44" s="85"/>
      <c r="H44" s="881" t="str">
        <f ca="1">IFERROR((((H36/H30)^(1/5))-1)*100,"")</f>
        <v/>
      </c>
      <c r="I44" s="85"/>
      <c r="J44" s="274" t="str">
        <f>AU104</f>
        <v>ROE</v>
      </c>
      <c r="K44" s="806" t="e">
        <f t="shared" ca="1" si="73"/>
        <v>#NAME?</v>
      </c>
      <c r="L44" s="806" t="e">
        <f t="shared" ca="1" si="73"/>
        <v>#NAME?</v>
      </c>
      <c r="M44" s="806" t="e">
        <f t="shared" ca="1" si="73"/>
        <v>#NAME?</v>
      </c>
      <c r="N44" s="269" t="str">
        <f t="shared" si="76"/>
        <v>EV/S</v>
      </c>
      <c r="O44" s="806" t="e">
        <f t="shared" ca="1" si="76"/>
        <v>#NAME?</v>
      </c>
      <c r="P44" s="806" t="e">
        <f t="shared" ca="1" si="76"/>
        <v>#NAME?</v>
      </c>
      <c r="Q44" s="905" t="e">
        <f t="shared" ca="1" si="76"/>
        <v>#NAME?</v>
      </c>
      <c r="R44" s="846" t="str">
        <f ca="1">IFERROR((((R36/R30)^(1/5))-1)*100,"")</f>
        <v/>
      </c>
      <c r="S44" s="846" t="str">
        <f ca="1">IFERROR((((S36/S30)^(1/5))-1)*100,"")</f>
        <v/>
      </c>
      <c r="T44" s="845" t="str">
        <f ca="1">IFERROR((((T36/T30)^(1/5))-1)*100,"")</f>
        <v/>
      </c>
      <c r="U44" s="846" t="str">
        <f ca="1">IFERROR((((U36/U30)^(1/5))-1)*100,"")</f>
        <v/>
      </c>
      <c r="V44" s="846"/>
      <c r="W44" s="846" t="str">
        <f ca="1">IFERROR((((W36/W30)^(1/5))-1)*100,"")</f>
        <v/>
      </c>
      <c r="X44" s="845" t="str">
        <f ca="1">IFERROR((((X36/X30)^(1/5))-1)*100,"")</f>
        <v/>
      </c>
      <c r="Y44" s="846"/>
      <c r="Z44" s="846"/>
      <c r="AA44" s="846" t="str">
        <f ca="1">IFERROR((((AA36/AA30)^(1/5))-1)*100,"")</f>
        <v/>
      </c>
      <c r="AB44" s="775"/>
      <c r="AC44" s="845" t="str">
        <f ca="1">IFERROR((((AC36/AC30)^(1/5))-1)*100,"")</f>
        <v/>
      </c>
      <c r="AD44" s="846"/>
      <c r="AE44" s="846" t="str">
        <f ca="1">IFERROR((((AE36/AE30)^(1/5))-1)*100,"")</f>
        <v/>
      </c>
      <c r="AF44" s="845"/>
      <c r="AG44" s="846" t="str">
        <f t="shared" ref="AG44:AL44" ca="1" si="79">IFERROR((((AG36/AG30)^(1/5))-1)*100,"")</f>
        <v/>
      </c>
      <c r="AH44" s="846" t="str">
        <f t="shared" ca="1" si="79"/>
        <v/>
      </c>
      <c r="AI44" s="846" t="str">
        <f t="shared" ca="1" si="79"/>
        <v/>
      </c>
      <c r="AJ44" s="846" t="str">
        <f t="shared" ca="1" si="79"/>
        <v/>
      </c>
      <c r="AK44" s="846" t="str">
        <f t="shared" ca="1" si="79"/>
        <v/>
      </c>
      <c r="AL44" s="846" t="str">
        <f t="shared" ca="1" si="79"/>
        <v/>
      </c>
      <c r="AM44" s="846"/>
      <c r="AN44" s="846" t="str">
        <f t="shared" ref="AN44:AS44" ca="1" si="80">IFERROR((((AN36/AN30)^(1/5))-1)*100,"")</f>
        <v/>
      </c>
      <c r="AO44" s="846" t="str">
        <f t="shared" ca="1" si="80"/>
        <v/>
      </c>
      <c r="AP44" s="846" t="str">
        <f t="shared" ca="1" si="80"/>
        <v/>
      </c>
      <c r="AQ44" s="846" t="str">
        <f t="shared" ca="1" si="80"/>
        <v/>
      </c>
      <c r="AR44" s="846" t="str">
        <f t="shared" ca="1" si="80"/>
        <v/>
      </c>
      <c r="AS44" s="845" t="str">
        <f t="shared" ca="1" si="80"/>
        <v/>
      </c>
      <c r="AU44" s="883"/>
      <c r="AV44" s="884"/>
      <c r="AW44" s="885"/>
      <c r="AX44" s="845" t="str">
        <f ca="1">IFERROR((((AX36/AX30)^(1/5))-1)*100,"")</f>
        <v/>
      </c>
      <c r="AY44" s="886" t="str">
        <f ca="1">IFERROR((((AY36/AY30)^(1/5))-1)*100,"")</f>
        <v/>
      </c>
      <c r="AZ44" s="46"/>
      <c r="BA44" s="46"/>
      <c r="BC44" s="886"/>
      <c r="DD44" s="3"/>
      <c r="DX44" t="s">
        <v>814</v>
      </c>
      <c r="DY44" s="2" t="s">
        <v>815</v>
      </c>
      <c r="DZ44" s="695">
        <v>0.15</v>
      </c>
    </row>
    <row r="45" spans="1:130" ht="16" customHeight="1">
      <c r="A45" s="110" t="s">
        <v>816</v>
      </c>
      <c r="B45" s="887" t="str">
        <f ca="1">IFERROR((((B35/B32)^(1/3))-1)*100,"")</f>
        <v/>
      </c>
      <c r="C45" s="775"/>
      <c r="D45" s="775"/>
      <c r="E45" s="86"/>
      <c r="F45" s="775" t="str">
        <f ca="1">IFERROR((((F35/F32)^(1/3))-1)*100,"")</f>
        <v/>
      </c>
      <c r="G45" s="86"/>
      <c r="H45" s="887" t="str">
        <f ca="1">IFERROR((((H35/H32)^(1/3))-1)*100,"")</f>
        <v/>
      </c>
      <c r="I45" s="86"/>
      <c r="J45" s="906" t="str">
        <f>AU105</f>
        <v>ND/E-DA</v>
      </c>
      <c r="K45" s="806" t="e">
        <f t="shared" ca="1" si="73"/>
        <v>#NAME?</v>
      </c>
      <c r="L45" s="806" t="e">
        <f t="shared" ca="1" si="73"/>
        <v>#NAME?</v>
      </c>
      <c r="M45" s="806" t="e">
        <f t="shared" ca="1" si="73"/>
        <v>#NAME?</v>
      </c>
      <c r="N45" s="47" t="str">
        <f t="shared" ref="N45:Q47" si="81">AU111</f>
        <v>EV/E-DA</v>
      </c>
      <c r="O45" s="806" t="e">
        <f t="shared" ca="1" si="81"/>
        <v>#NAME?</v>
      </c>
      <c r="P45" s="806" t="e">
        <f t="shared" ca="1" si="81"/>
        <v>#NAME?</v>
      </c>
      <c r="Q45" s="905" t="e">
        <f t="shared" ca="1" si="81"/>
        <v>#NAME?</v>
      </c>
      <c r="R45" s="775" t="str">
        <f t="shared" ref="R45:U46" ca="1" si="82">IFERROR((((R35/R32)^(1/3))-1)*100,"")</f>
        <v/>
      </c>
      <c r="S45" s="775" t="str">
        <f t="shared" ca="1" si="82"/>
        <v/>
      </c>
      <c r="T45" s="813" t="str">
        <f t="shared" ca="1" si="82"/>
        <v/>
      </c>
      <c r="U45" s="775" t="str">
        <f t="shared" ca="1" si="82"/>
        <v/>
      </c>
      <c r="V45" s="775"/>
      <c r="W45" s="775" t="str">
        <f ca="1">IFERROR((((W35/W32)^(1/3))-1)*100,"")</f>
        <v/>
      </c>
      <c r="X45" s="813" t="str">
        <f ca="1">IFERROR((((X35/X32)^(1/3))-1)*100,"")</f>
        <v/>
      </c>
      <c r="Y45" s="775"/>
      <c r="Z45" s="775"/>
      <c r="AA45" s="775" t="str">
        <f ca="1">IFERROR((((AA35/AA32)^(1/3))-1)*100,"")</f>
        <v/>
      </c>
      <c r="AB45" s="775"/>
      <c r="AC45" s="813" t="str">
        <f ca="1">IFERROR((((AC35/AC32)^(1/3))-1)*100,"")</f>
        <v/>
      </c>
      <c r="AD45" s="775"/>
      <c r="AE45" s="775" t="str">
        <f ca="1">IFERROR((((AE35/AE32)^(1/3))-1)*100,"")</f>
        <v/>
      </c>
      <c r="AF45" s="813"/>
      <c r="AG45" s="775" t="str">
        <f t="shared" ref="AG45:AL46" ca="1" si="83">IFERROR((((AG35/AG32)^(1/3))-1)*100,"")</f>
        <v/>
      </c>
      <c r="AH45" s="775" t="str">
        <f t="shared" ca="1" si="83"/>
        <v/>
      </c>
      <c r="AI45" s="775" t="str">
        <f t="shared" ca="1" si="83"/>
        <v/>
      </c>
      <c r="AJ45" s="775" t="str">
        <f t="shared" ca="1" si="83"/>
        <v/>
      </c>
      <c r="AK45" s="775" t="str">
        <f t="shared" si="83"/>
        <v/>
      </c>
      <c r="AL45" s="775" t="str">
        <f t="shared" ca="1" si="83"/>
        <v/>
      </c>
      <c r="AM45" s="775"/>
      <c r="AN45" s="775" t="str">
        <f t="shared" ref="AN45:AS46" ca="1" si="84">IFERROR((((AN35/AN32)^(1/3))-1)*100,"")</f>
        <v/>
      </c>
      <c r="AO45" s="775" t="str">
        <f t="shared" ca="1" si="84"/>
        <v/>
      </c>
      <c r="AP45" s="775" t="str">
        <f t="shared" si="84"/>
        <v/>
      </c>
      <c r="AQ45" s="775" t="str">
        <f t="shared" ca="1" si="84"/>
        <v/>
      </c>
      <c r="AR45" s="775" t="str">
        <f t="shared" ca="1" si="84"/>
        <v/>
      </c>
      <c r="AS45" s="813" t="str">
        <f t="shared" ca="1" si="84"/>
        <v/>
      </c>
      <c r="AU45" s="891"/>
      <c r="AV45" s="892"/>
      <c r="AW45" s="893"/>
      <c r="AX45" s="813" t="str">
        <f ca="1">IFERROR((((AX35/AX32)^(1/3))-1)*100,"")</f>
        <v/>
      </c>
      <c r="AY45" s="895" t="str">
        <f ca="1">IFERROR((((AY35/AY32)^(1/3))-1)*100,"")</f>
        <v/>
      </c>
      <c r="AZ45" s="46"/>
      <c r="BA45" s="46"/>
      <c r="BC45" s="895"/>
      <c r="BF45" s="20"/>
      <c r="BK45" s="1"/>
      <c r="DD45" s="3"/>
      <c r="DX45" t="s">
        <v>817</v>
      </c>
      <c r="DY45" s="2" t="s">
        <v>818</v>
      </c>
      <c r="DZ45" s="695">
        <v>0</v>
      </c>
    </row>
    <row r="46" spans="1:130" ht="16" customHeight="1">
      <c r="A46" s="112" t="s">
        <v>819</v>
      </c>
      <c r="B46" s="896" t="str">
        <f ca="1">IFERROR((((B36/B33)^(1/3))-1)*100,"")</f>
        <v/>
      </c>
      <c r="C46" s="837"/>
      <c r="D46" s="837"/>
      <c r="E46" s="90"/>
      <c r="F46" s="837" t="str">
        <f ca="1">IFERROR((((F36/F33)^(1/3))-1)*100,"")</f>
        <v/>
      </c>
      <c r="G46" s="90"/>
      <c r="H46" s="896" t="str">
        <f ca="1">IFERROR((((H36/H33)^(1/3))-1)*100,"")</f>
        <v/>
      </c>
      <c r="I46" s="90"/>
      <c r="J46" s="907" t="str">
        <f>AU106</f>
        <v>LT G</v>
      </c>
      <c r="K46" s="806" t="str">
        <f t="shared" ca="1" si="73"/>
        <v/>
      </c>
      <c r="L46" s="806" t="e">
        <f t="shared" ca="1" si="73"/>
        <v>#NAME?</v>
      </c>
      <c r="M46" s="806" t="e">
        <f t="shared" ca="1" si="73"/>
        <v>#NAME?</v>
      </c>
      <c r="N46" s="686" t="str">
        <f t="shared" si="81"/>
        <v>P/B</v>
      </c>
      <c r="O46" s="806" t="e">
        <f t="shared" ca="1" si="81"/>
        <v>#NAME?</v>
      </c>
      <c r="P46" s="806" t="e">
        <f t="shared" ca="1" si="81"/>
        <v>#NAME?</v>
      </c>
      <c r="Q46" s="905" t="e">
        <f t="shared" ca="1" si="81"/>
        <v>#NAME?</v>
      </c>
      <c r="R46" s="837" t="str">
        <f t="shared" ca="1" si="82"/>
        <v/>
      </c>
      <c r="S46" s="837" t="str">
        <f t="shared" ca="1" si="82"/>
        <v/>
      </c>
      <c r="T46" s="898" t="str">
        <f t="shared" ca="1" si="82"/>
        <v/>
      </c>
      <c r="U46" s="837" t="str">
        <f t="shared" ca="1" si="82"/>
        <v/>
      </c>
      <c r="V46" s="837"/>
      <c r="W46" s="837" t="str">
        <f ca="1">IFERROR((((W36/W33)^(1/3))-1)*100,"")</f>
        <v/>
      </c>
      <c r="X46" s="898" t="str">
        <f ca="1">IFERROR((((X36/X33)^(1/3))-1)*100,"")</f>
        <v/>
      </c>
      <c r="Y46" s="837"/>
      <c r="Z46" s="837"/>
      <c r="AA46" s="837" t="str">
        <f ca="1">IFERROR((((AA36/AA33)^(1/3))-1)*100,"")</f>
        <v/>
      </c>
      <c r="AB46" s="837"/>
      <c r="AC46" s="898" t="str">
        <f ca="1">IFERROR((((AC36/AC33)^(1/3))-1)*100,"")</f>
        <v/>
      </c>
      <c r="AD46" s="837"/>
      <c r="AE46" s="837" t="str">
        <f ca="1">IFERROR((((AE36/AE33)^(1/3))-1)*100,"")</f>
        <v/>
      </c>
      <c r="AF46" s="898"/>
      <c r="AG46" s="837" t="str">
        <f t="shared" ca="1" si="83"/>
        <v/>
      </c>
      <c r="AH46" s="837" t="str">
        <f t="shared" ca="1" si="83"/>
        <v/>
      </c>
      <c r="AI46" s="837" t="str">
        <f t="shared" ca="1" si="83"/>
        <v/>
      </c>
      <c r="AJ46" s="837" t="str">
        <f t="shared" ca="1" si="83"/>
        <v/>
      </c>
      <c r="AK46" s="837" t="str">
        <f t="shared" si="83"/>
        <v/>
      </c>
      <c r="AL46" s="837" t="str">
        <f t="shared" ca="1" si="83"/>
        <v/>
      </c>
      <c r="AM46" s="837"/>
      <c r="AN46" s="837" t="str">
        <f t="shared" ca="1" si="84"/>
        <v/>
      </c>
      <c r="AO46" s="837" t="str">
        <f t="shared" ca="1" si="84"/>
        <v/>
      </c>
      <c r="AP46" s="837" t="str">
        <f t="shared" si="84"/>
        <v/>
      </c>
      <c r="AQ46" s="837" t="str">
        <f t="shared" ca="1" si="84"/>
        <v/>
      </c>
      <c r="AR46" s="837" t="str">
        <f t="shared" ca="1" si="84"/>
        <v/>
      </c>
      <c r="AS46" s="898" t="str">
        <f t="shared" ca="1" si="84"/>
        <v/>
      </c>
      <c r="AU46" s="899"/>
      <c r="AV46" s="900"/>
      <c r="AW46" s="901"/>
      <c r="AX46" s="898" t="str">
        <f ca="1">IFERROR((((AX36/AX33)^(1/3))-1)*100,"")</f>
        <v/>
      </c>
      <c r="AY46" s="902" t="str">
        <f ca="1">IFERROR((((AY36/AY33)^(1/3))-1)*100,"")</f>
        <v/>
      </c>
      <c r="AZ46" s="46"/>
      <c r="BA46" s="46"/>
      <c r="BC46" s="902"/>
      <c r="BF46" s="20"/>
      <c r="BK46" s="1"/>
      <c r="CW46" s="3"/>
      <c r="DK46" s="19" t="str">
        <f>IF(DI47=1,"FD",IF(DJ47=1,"Basic","FD"))</f>
        <v>FD</v>
      </c>
      <c r="DN46" s="19" t="str">
        <f>IF(DL47=1,"FD",IF(DM47=1,"Basic","FD"))</f>
        <v>FD</v>
      </c>
      <c r="DX46" t="s">
        <v>820</v>
      </c>
      <c r="DY46" s="2" t="s">
        <v>821</v>
      </c>
      <c r="DZ46" s="695">
        <v>0.05</v>
      </c>
    </row>
    <row r="47" spans="1:130" ht="16" customHeight="1" thickBot="1">
      <c r="A47" s="118"/>
      <c r="B47" s="86"/>
      <c r="C47" s="86"/>
      <c r="D47" s="86"/>
      <c r="E47" s="86"/>
      <c r="F47" s="86"/>
      <c r="G47" s="86"/>
      <c r="H47" s="86"/>
      <c r="J47" s="908" t="str">
        <f>AU107</f>
        <v>Yield</v>
      </c>
      <c r="K47" s="909" t="e">
        <f t="shared" ca="1" si="73"/>
        <v>#NAME?</v>
      </c>
      <c r="L47" s="910" t="e">
        <f t="shared" ca="1" si="73"/>
        <v>#NAME?</v>
      </c>
      <c r="M47" s="910" t="e">
        <f t="shared" ca="1" si="73"/>
        <v>#NAME?</v>
      </c>
      <c r="N47" s="275" t="str">
        <f t="shared" si="81"/>
        <v>PEG</v>
      </c>
      <c r="O47" s="910" t="str">
        <f t="shared" ca="1" si="81"/>
        <v/>
      </c>
      <c r="P47" s="910" t="str">
        <f t="shared" ca="1" si="81"/>
        <v/>
      </c>
      <c r="Q47" s="911" t="str">
        <f t="shared" ca="1" si="81"/>
        <v/>
      </c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46"/>
      <c r="AU47" s="46"/>
      <c r="AV47" s="46"/>
      <c r="AW47" s="46"/>
      <c r="AX47" s="46"/>
      <c r="AY47" s="46"/>
      <c r="AZ47" s="46"/>
      <c r="BA47" s="46"/>
      <c r="BO47" s="2"/>
      <c r="BP47" s="2"/>
      <c r="CG47" s="2">
        <f t="shared" ref="CG47:CM47" si="85">IF(ISNUMBER(CH65),1,0)</f>
        <v>0</v>
      </c>
      <c r="CH47" s="2">
        <f t="shared" si="85"/>
        <v>0</v>
      </c>
      <c r="CI47" s="2">
        <f t="shared" si="85"/>
        <v>0</v>
      </c>
      <c r="CJ47" s="2">
        <f t="shared" si="85"/>
        <v>0</v>
      </c>
      <c r="CK47" s="2">
        <f t="shared" si="85"/>
        <v>1</v>
      </c>
      <c r="CL47" s="2">
        <f t="shared" si="85"/>
        <v>0</v>
      </c>
      <c r="CM47" s="2">
        <f t="shared" si="85"/>
        <v>0</v>
      </c>
      <c r="CU47" s="2">
        <v>1</v>
      </c>
      <c r="CV47" s="2">
        <v>2</v>
      </c>
      <c r="CW47" s="2">
        <v>3</v>
      </c>
      <c r="CX47" s="2">
        <v>4</v>
      </c>
      <c r="CZ47" s="2" t="s">
        <v>822</v>
      </c>
      <c r="DA47" s="46"/>
      <c r="DB47" s="46"/>
      <c r="DC47" s="46"/>
      <c r="DD47" s="46"/>
      <c r="DE47" s="46"/>
      <c r="DF47" s="46"/>
      <c r="DG47" s="46"/>
      <c r="DH47" s="47" t="s">
        <v>822</v>
      </c>
      <c r="DI47" s="2">
        <f>IF(ISNUMBER(DI65),1,0)</f>
        <v>1</v>
      </c>
      <c r="DJ47" s="2">
        <f>IF(ISNUMBER(DJ65),1,0)</f>
        <v>1</v>
      </c>
      <c r="DK47" s="15" t="s">
        <v>630</v>
      </c>
      <c r="DL47" s="2">
        <f>IF(ISNUMBER(DL65),1,0)</f>
        <v>1</v>
      </c>
      <c r="DM47" s="2">
        <f>IF(ISNUMBER(DM65),1,0)</f>
        <v>1</v>
      </c>
      <c r="DN47" s="15" t="s">
        <v>602</v>
      </c>
      <c r="DX47" t="s">
        <v>823</v>
      </c>
      <c r="DY47" s="2" t="s">
        <v>824</v>
      </c>
      <c r="DZ47" s="695">
        <v>0.15</v>
      </c>
    </row>
    <row r="48" spans="1:130" ht="16" customHeight="1">
      <c r="A48" s="119"/>
      <c r="B48" s="120"/>
      <c r="C48" s="121"/>
      <c r="D48" s="121"/>
      <c r="E48" s="121"/>
      <c r="F48" s="121"/>
      <c r="G48" s="122" t="s">
        <v>825</v>
      </c>
      <c r="H48" s="121"/>
      <c r="I48" s="122"/>
      <c r="J48" s="122" t="s">
        <v>826</v>
      </c>
      <c r="K48" s="264"/>
      <c r="L48" s="264"/>
      <c r="M48" s="264" t="s">
        <v>624</v>
      </c>
      <c r="N48" s="270"/>
      <c r="O48" s="270" t="s">
        <v>827</v>
      </c>
      <c r="P48" s="270"/>
      <c r="Q48" s="270"/>
      <c r="R48" s="121"/>
      <c r="S48" s="122" t="s">
        <v>828</v>
      </c>
      <c r="T48" s="121"/>
      <c r="U48" s="122" t="s">
        <v>624</v>
      </c>
      <c r="V48" s="121"/>
      <c r="W48" s="122" t="s">
        <v>829</v>
      </c>
      <c r="X48" s="121"/>
      <c r="Y48" s="122" t="s">
        <v>830</v>
      </c>
      <c r="Z48" s="122" t="s">
        <v>624</v>
      </c>
      <c r="AA48" s="122" t="s">
        <v>649</v>
      </c>
      <c r="AB48" s="121"/>
      <c r="AC48" s="122" t="s">
        <v>831</v>
      </c>
      <c r="AD48" s="121" t="s">
        <v>580</v>
      </c>
      <c r="AE48" s="122" t="s">
        <v>832</v>
      </c>
      <c r="AF48" s="122" t="s">
        <v>833</v>
      </c>
      <c r="AG48" s="122" t="s">
        <v>834</v>
      </c>
      <c r="AH48" s="65"/>
      <c r="AI48" s="122" t="s">
        <v>835</v>
      </c>
      <c r="AJ48" s="147"/>
      <c r="AK48" s="164" t="s">
        <v>836</v>
      </c>
      <c r="AL48" s="148"/>
      <c r="AM48" s="149"/>
      <c r="AN48" s="164" t="s">
        <v>836</v>
      </c>
      <c r="AO48" s="144" t="s">
        <v>837</v>
      </c>
      <c r="AP48" s="145"/>
      <c r="AQ48" s="145"/>
      <c r="AR48" s="146"/>
      <c r="AS48" s="137" t="s">
        <v>838</v>
      </c>
      <c r="AU48" s="497" t="s">
        <v>831</v>
      </c>
      <c r="AV48" s="498" t="s">
        <v>836</v>
      </c>
      <c r="AW48" s="498"/>
      <c r="AX48" s="498" t="s">
        <v>839</v>
      </c>
      <c r="AY48" s="509" t="s">
        <v>840</v>
      </c>
      <c r="AZ48" s="510" t="s">
        <v>841</v>
      </c>
      <c r="BC48" s="31" t="s">
        <v>842</v>
      </c>
      <c r="BD48" s="320" t="s">
        <v>843</v>
      </c>
      <c r="BE48" s="321"/>
      <c r="BF48" s="321"/>
      <c r="BG48" s="321" t="s">
        <v>624</v>
      </c>
      <c r="BH48" s="322"/>
      <c r="BI48" s="320"/>
      <c r="BJ48" s="321" t="s">
        <v>829</v>
      </c>
      <c r="BK48" s="321" t="s">
        <v>649</v>
      </c>
      <c r="BL48" s="321"/>
      <c r="BM48" s="321" t="s">
        <v>830</v>
      </c>
      <c r="BN48" s="322" t="s">
        <v>649</v>
      </c>
      <c r="BO48" s="320" t="s">
        <v>844</v>
      </c>
      <c r="BP48" s="321" t="s">
        <v>646</v>
      </c>
      <c r="BQ48" s="321"/>
      <c r="BR48" s="322" t="s">
        <v>845</v>
      </c>
      <c r="BS48" s="334"/>
      <c r="BT48" s="335"/>
      <c r="BU48" s="335"/>
      <c r="BV48" s="336"/>
      <c r="BW48" s="321" t="s">
        <v>832</v>
      </c>
      <c r="BX48" s="337"/>
      <c r="BY48" s="31" t="s">
        <v>846</v>
      </c>
      <c r="BZ48" s="320"/>
      <c r="CA48" s="321"/>
      <c r="CB48" s="321"/>
      <c r="CC48" s="321" t="s">
        <v>847</v>
      </c>
      <c r="CD48" s="321"/>
      <c r="CE48" s="321"/>
      <c r="CF48" s="321"/>
      <c r="CG48" s="321" t="s">
        <v>848</v>
      </c>
      <c r="CH48" s="345">
        <v>1</v>
      </c>
      <c r="CI48" s="345">
        <v>2</v>
      </c>
      <c r="CJ48" s="345">
        <v>3</v>
      </c>
      <c r="CK48" s="345">
        <v>4</v>
      </c>
      <c r="CL48" s="345">
        <v>5</v>
      </c>
      <c r="CM48" s="345">
        <v>6</v>
      </c>
      <c r="CN48" s="345">
        <v>7</v>
      </c>
      <c r="CO48" s="345" t="s">
        <v>849</v>
      </c>
      <c r="CP48" s="345" t="s">
        <v>826</v>
      </c>
      <c r="CQ48" s="345" t="s">
        <v>826</v>
      </c>
      <c r="CR48" s="345" t="s">
        <v>826</v>
      </c>
      <c r="CS48" s="346" t="s">
        <v>826</v>
      </c>
      <c r="CT48" s="397" t="s">
        <v>766</v>
      </c>
      <c r="CU48" s="320" t="s">
        <v>850</v>
      </c>
      <c r="CV48" s="321" t="s">
        <v>850</v>
      </c>
      <c r="CW48" s="321" t="s">
        <v>850</v>
      </c>
      <c r="CX48" s="321" t="s">
        <v>850</v>
      </c>
      <c r="CY48" s="400" t="s">
        <v>851</v>
      </c>
      <c r="CZ48" s="401" t="s">
        <v>852</v>
      </c>
      <c r="DA48" s="320" t="s">
        <v>632</v>
      </c>
      <c r="DB48" s="321" t="s">
        <v>853</v>
      </c>
      <c r="DC48" s="321" t="s">
        <v>854</v>
      </c>
      <c r="DD48" s="321" t="s">
        <v>822</v>
      </c>
      <c r="DE48" s="321" t="s">
        <v>582</v>
      </c>
      <c r="DF48" s="335"/>
      <c r="DG48" s="407"/>
      <c r="DH48" s="322" t="s">
        <v>855</v>
      </c>
      <c r="DI48" s="320" t="s">
        <v>856</v>
      </c>
      <c r="DJ48" s="321" t="s">
        <v>589</v>
      </c>
      <c r="DK48" s="409"/>
      <c r="DL48" s="320" t="s">
        <v>856</v>
      </c>
      <c r="DM48" s="321" t="s">
        <v>589</v>
      </c>
      <c r="DN48" s="409"/>
      <c r="DO48" s="497" t="s">
        <v>857</v>
      </c>
      <c r="DP48" s="498" t="s">
        <v>858</v>
      </c>
      <c r="DQ48" s="499" t="s">
        <v>859</v>
      </c>
      <c r="DR48" s="320" t="s">
        <v>825</v>
      </c>
      <c r="DS48" s="321" t="s">
        <v>825</v>
      </c>
      <c r="DT48" s="321" t="s">
        <v>825</v>
      </c>
      <c r="DU48" s="401" t="s">
        <v>825</v>
      </c>
      <c r="DV48" s="31" t="s">
        <v>766</v>
      </c>
      <c r="DX48" t="s">
        <v>860</v>
      </c>
      <c r="DY48" s="2" t="s">
        <v>861</v>
      </c>
      <c r="DZ48" s="695">
        <v>0.15</v>
      </c>
    </row>
    <row r="49" spans="1:130" ht="16" customHeight="1">
      <c r="A49" s="124" t="s">
        <v>616</v>
      </c>
      <c r="B49" s="125" t="s">
        <v>646</v>
      </c>
      <c r="C49" s="126" t="s">
        <v>862</v>
      </c>
      <c r="D49" s="126" t="s">
        <v>863</v>
      </c>
      <c r="E49" s="126" t="s">
        <v>864</v>
      </c>
      <c r="F49" s="126" t="s">
        <v>865</v>
      </c>
      <c r="G49" s="126" t="s">
        <v>866</v>
      </c>
      <c r="H49" s="126" t="s">
        <v>867</v>
      </c>
      <c r="I49" s="126" t="s">
        <v>868</v>
      </c>
      <c r="J49" s="126" t="s">
        <v>869</v>
      </c>
      <c r="K49" s="126" t="s">
        <v>870</v>
      </c>
      <c r="L49" s="126" t="s">
        <v>871</v>
      </c>
      <c r="M49" s="126" t="s">
        <v>872</v>
      </c>
      <c r="N49" s="126" t="s">
        <v>873</v>
      </c>
      <c r="O49" s="126" t="s">
        <v>874</v>
      </c>
      <c r="P49" s="126" t="s">
        <v>875</v>
      </c>
      <c r="Q49" s="126" t="s">
        <v>876</v>
      </c>
      <c r="R49" s="126" t="s">
        <v>877</v>
      </c>
      <c r="S49" s="126" t="s">
        <v>878</v>
      </c>
      <c r="T49" s="126" t="s">
        <v>879</v>
      </c>
      <c r="U49" s="126" t="s">
        <v>880</v>
      </c>
      <c r="V49" s="126" t="s">
        <v>881</v>
      </c>
      <c r="W49" s="126" t="s">
        <v>866</v>
      </c>
      <c r="X49" s="126" t="s">
        <v>882</v>
      </c>
      <c r="Y49" s="126" t="s">
        <v>866</v>
      </c>
      <c r="Z49" s="126" t="s">
        <v>883</v>
      </c>
      <c r="AA49" s="126" t="s">
        <v>884</v>
      </c>
      <c r="AB49" s="126" t="s">
        <v>885</v>
      </c>
      <c r="AC49" s="126" t="s">
        <v>551</v>
      </c>
      <c r="AD49" s="126" t="s">
        <v>886</v>
      </c>
      <c r="AE49" s="126" t="s">
        <v>551</v>
      </c>
      <c r="AF49" s="126" t="s">
        <v>551</v>
      </c>
      <c r="AG49" s="126" t="s">
        <v>887</v>
      </c>
      <c r="AH49" s="70" t="s">
        <v>888</v>
      </c>
      <c r="AI49" s="126" t="s">
        <v>889</v>
      </c>
      <c r="AJ49" s="150" t="s">
        <v>890</v>
      </c>
      <c r="AK49" s="151" t="s">
        <v>620</v>
      </c>
      <c r="AL49" s="151" t="s">
        <v>891</v>
      </c>
      <c r="AM49" s="151" t="s">
        <v>892</v>
      </c>
      <c r="AN49" s="151" t="s">
        <v>551</v>
      </c>
      <c r="AO49" s="125" t="s">
        <v>893</v>
      </c>
      <c r="AP49" s="126" t="s">
        <v>894</v>
      </c>
      <c r="AQ49" s="126" t="s">
        <v>895</v>
      </c>
      <c r="AR49" s="127" t="s">
        <v>896</v>
      </c>
      <c r="AS49" s="138" t="e">
        <f ca="1">BJ3</f>
        <v>#NAME?</v>
      </c>
      <c r="AU49" s="500" t="s">
        <v>871</v>
      </c>
      <c r="AV49" s="501" t="s">
        <v>897</v>
      </c>
      <c r="AW49" s="501" t="s">
        <v>898</v>
      </c>
      <c r="AX49" s="501" t="s">
        <v>620</v>
      </c>
      <c r="AY49" s="511" t="s">
        <v>899</v>
      </c>
      <c r="AZ49" s="512" t="s">
        <v>889</v>
      </c>
      <c r="BC49" s="36" t="s">
        <v>900</v>
      </c>
      <c r="BD49" s="323" t="s">
        <v>877</v>
      </c>
      <c r="BE49" s="4" t="s">
        <v>901</v>
      </c>
      <c r="BF49" s="4" t="s">
        <v>902</v>
      </c>
      <c r="BG49" s="4" t="s">
        <v>872</v>
      </c>
      <c r="BH49" s="324" t="s">
        <v>903</v>
      </c>
      <c r="BI49" s="323" t="s">
        <v>881</v>
      </c>
      <c r="BJ49" s="4" t="s">
        <v>866</v>
      </c>
      <c r="BK49" s="4" t="s">
        <v>881</v>
      </c>
      <c r="BL49" s="4" t="s">
        <v>882</v>
      </c>
      <c r="BM49" s="4" t="s">
        <v>866</v>
      </c>
      <c r="BN49" s="324" t="s">
        <v>882</v>
      </c>
      <c r="BO49" s="323" t="s">
        <v>904</v>
      </c>
      <c r="BP49" s="4" t="s">
        <v>905</v>
      </c>
      <c r="BQ49" s="295" t="s">
        <v>906</v>
      </c>
      <c r="BR49" s="324" t="s">
        <v>907</v>
      </c>
      <c r="BS49" s="323" t="s">
        <v>646</v>
      </c>
      <c r="BT49" s="4" t="s">
        <v>867</v>
      </c>
      <c r="BU49" s="4" t="s">
        <v>871</v>
      </c>
      <c r="BV49" s="4" t="s">
        <v>882</v>
      </c>
      <c r="BW49" s="4" t="s">
        <v>551</v>
      </c>
      <c r="BX49" s="324" t="s">
        <v>891</v>
      </c>
      <c r="BY49" s="344" t="s">
        <v>661</v>
      </c>
      <c r="BZ49" s="323">
        <v>1</v>
      </c>
      <c r="CA49" s="4">
        <v>2</v>
      </c>
      <c r="CB49" s="4">
        <v>3</v>
      </c>
      <c r="CC49" s="4" t="s">
        <v>908</v>
      </c>
      <c r="CD49" s="4">
        <v>1</v>
      </c>
      <c r="CE49" s="4">
        <v>2</v>
      </c>
      <c r="CF49" s="4">
        <v>3</v>
      </c>
      <c r="CG49" s="4" t="s">
        <v>908</v>
      </c>
      <c r="CH49" s="174" t="s">
        <v>909</v>
      </c>
      <c r="CI49" s="174" t="s">
        <v>909</v>
      </c>
      <c r="CJ49" s="174" t="s">
        <v>909</v>
      </c>
      <c r="CK49" s="174" t="s">
        <v>909</v>
      </c>
      <c r="CL49" s="174" t="s">
        <v>909</v>
      </c>
      <c r="CM49" s="174" t="s">
        <v>909</v>
      </c>
      <c r="CN49" s="174" t="s">
        <v>909</v>
      </c>
      <c r="CO49" s="174" t="s">
        <v>910</v>
      </c>
      <c r="CP49" s="174" t="s">
        <v>869</v>
      </c>
      <c r="CQ49" s="174" t="s">
        <v>869</v>
      </c>
      <c r="CR49" s="174" t="s">
        <v>869</v>
      </c>
      <c r="CS49" s="347" t="s">
        <v>869</v>
      </c>
      <c r="CT49" s="398" t="s">
        <v>911</v>
      </c>
      <c r="CU49" s="323" t="s">
        <v>912</v>
      </c>
      <c r="CV49" s="4" t="s">
        <v>913</v>
      </c>
      <c r="CW49" s="4" t="s">
        <v>914</v>
      </c>
      <c r="CX49" s="4" t="s">
        <v>915</v>
      </c>
      <c r="CY49" s="42" t="s">
        <v>916</v>
      </c>
      <c r="CZ49" s="402" t="s">
        <v>917</v>
      </c>
      <c r="DA49" s="323" t="s">
        <v>918</v>
      </c>
      <c r="DB49" s="4" t="s">
        <v>632</v>
      </c>
      <c r="DC49" s="4" t="s">
        <v>632</v>
      </c>
      <c r="DD49" s="4" t="s">
        <v>919</v>
      </c>
      <c r="DE49" s="4" t="s">
        <v>920</v>
      </c>
      <c r="DF49" s="4" t="s">
        <v>921</v>
      </c>
      <c r="DG49" s="42" t="s">
        <v>921</v>
      </c>
      <c r="DH49" s="324" t="s">
        <v>908</v>
      </c>
      <c r="DI49" s="323" t="s">
        <v>630</v>
      </c>
      <c r="DJ49" s="42" t="s">
        <v>630</v>
      </c>
      <c r="DK49" s="402" t="s">
        <v>630</v>
      </c>
      <c r="DL49" s="323" t="s">
        <v>602</v>
      </c>
      <c r="DM49" s="2" t="s">
        <v>602</v>
      </c>
      <c r="DN49" s="402" t="s">
        <v>602</v>
      </c>
      <c r="DO49" s="500" t="s">
        <v>922</v>
      </c>
      <c r="DP49" s="501" t="s">
        <v>643</v>
      </c>
      <c r="DQ49" s="502" t="s">
        <v>633</v>
      </c>
      <c r="DR49" s="323" t="s">
        <v>866</v>
      </c>
      <c r="DS49" s="4" t="s">
        <v>866</v>
      </c>
      <c r="DT49" s="4" t="s">
        <v>866</v>
      </c>
      <c r="DU49" s="402" t="s">
        <v>866</v>
      </c>
      <c r="DV49" s="36" t="s">
        <v>866</v>
      </c>
      <c r="DX49" t="s">
        <v>923</v>
      </c>
      <c r="DY49" s="2" t="s">
        <v>924</v>
      </c>
      <c r="DZ49" s="695">
        <v>0</v>
      </c>
    </row>
    <row r="50" spans="1:130" ht="16" hidden="1" customHeight="1" outlineLevel="1">
      <c r="A50" s="128"/>
      <c r="B50" s="129" t="s">
        <v>925</v>
      </c>
      <c r="C50" s="130" t="s">
        <v>926</v>
      </c>
      <c r="D50" s="130" t="s">
        <v>927</v>
      </c>
      <c r="E50" s="130" t="s">
        <v>928</v>
      </c>
      <c r="F50" s="130"/>
      <c r="G50" s="130"/>
      <c r="H50" s="130" t="s">
        <v>929</v>
      </c>
      <c r="I50" s="130" t="s">
        <v>930</v>
      </c>
      <c r="J50" s="130"/>
      <c r="K50" s="130" t="s">
        <v>931</v>
      </c>
      <c r="L50" s="130" t="s">
        <v>932</v>
      </c>
      <c r="M50" s="130"/>
      <c r="N50" s="130" t="s">
        <v>933</v>
      </c>
      <c r="O50" s="130"/>
      <c r="P50" s="130"/>
      <c r="Q50" s="130"/>
      <c r="R50" s="130"/>
      <c r="S50" s="130"/>
      <c r="T50" s="130" t="s">
        <v>934</v>
      </c>
      <c r="U50" s="130"/>
      <c r="V50" s="130"/>
      <c r="W50" s="130"/>
      <c r="X50" s="130"/>
      <c r="Y50" s="130"/>
      <c r="Z50" s="23"/>
      <c r="AA50" s="130"/>
      <c r="AB50" s="130" t="s">
        <v>935</v>
      </c>
      <c r="AC50" s="130" t="s">
        <v>936</v>
      </c>
      <c r="AD50" s="130" t="s">
        <v>937</v>
      </c>
      <c r="AE50" s="130" t="s">
        <v>938</v>
      </c>
      <c r="AF50" s="130"/>
      <c r="AG50" s="130"/>
      <c r="AH50" s="70"/>
      <c r="AI50" s="130"/>
      <c r="AJ50" s="129"/>
      <c r="AK50" s="130"/>
      <c r="AL50" s="130" t="s">
        <v>939</v>
      </c>
      <c r="AM50" s="130"/>
      <c r="AN50" s="130"/>
      <c r="AO50" s="129"/>
      <c r="AP50" s="130"/>
      <c r="AQ50" s="130"/>
      <c r="AR50" s="131"/>
      <c r="AS50" s="140" t="s">
        <v>689</v>
      </c>
      <c r="AU50" s="325" t="s">
        <v>940</v>
      </c>
      <c r="AV50" s="504"/>
      <c r="AW50" s="504"/>
      <c r="AX50" s="504"/>
      <c r="AY50" s="513" t="s">
        <v>941</v>
      </c>
      <c r="AZ50" s="514"/>
      <c r="BC50" s="32" t="s">
        <v>942</v>
      </c>
      <c r="BD50" s="325"/>
      <c r="BE50" s="23"/>
      <c r="BF50" s="23" t="s">
        <v>943</v>
      </c>
      <c r="BG50" s="23" t="s">
        <v>944</v>
      </c>
      <c r="BH50" s="326" t="s">
        <v>945</v>
      </c>
      <c r="BI50" s="325" t="s">
        <v>946</v>
      </c>
      <c r="BJ50" s="23" t="s">
        <v>947</v>
      </c>
      <c r="BK50" s="23"/>
      <c r="BL50" s="23" t="s">
        <v>948</v>
      </c>
      <c r="BM50" s="23" t="s">
        <v>949</v>
      </c>
      <c r="BN50" s="326"/>
      <c r="BO50" s="325" t="s">
        <v>950</v>
      </c>
      <c r="BP50" s="23" t="s">
        <v>951</v>
      </c>
      <c r="BQ50" s="23"/>
      <c r="BR50" s="326"/>
      <c r="BS50" s="325"/>
      <c r="BT50" s="23"/>
      <c r="BU50" s="23"/>
      <c r="BV50" s="23"/>
      <c r="BW50" s="23"/>
      <c r="BX50" s="326"/>
      <c r="BY50" s="32"/>
      <c r="BZ50" s="325" t="s">
        <v>952</v>
      </c>
      <c r="CA50" s="23" t="s">
        <v>953</v>
      </c>
      <c r="CB50" s="23" t="s">
        <v>954</v>
      </c>
      <c r="CC50" s="23"/>
      <c r="CD50" s="23" t="s">
        <v>955</v>
      </c>
      <c r="CE50" s="23" t="s">
        <v>956</v>
      </c>
      <c r="CF50" s="23" t="s">
        <v>957</v>
      </c>
      <c r="CG50" s="23"/>
      <c r="CH50" s="223" t="s">
        <v>958</v>
      </c>
      <c r="CI50" s="223" t="s">
        <v>959</v>
      </c>
      <c r="CJ50" s="223" t="s">
        <v>960</v>
      </c>
      <c r="CK50" s="223" t="s">
        <v>961</v>
      </c>
      <c r="CL50" s="223" t="s">
        <v>962</v>
      </c>
      <c r="CM50" s="223" t="s">
        <v>963</v>
      </c>
      <c r="CN50" s="223" t="s">
        <v>964</v>
      </c>
      <c r="CO50" s="223"/>
      <c r="CP50" s="223" t="s">
        <v>965</v>
      </c>
      <c r="CQ50" s="223" t="s">
        <v>966</v>
      </c>
      <c r="CR50" s="223" t="s">
        <v>967</v>
      </c>
      <c r="CS50" s="348"/>
      <c r="CT50" s="399" t="s">
        <v>463</v>
      </c>
      <c r="CU50" s="403" t="s">
        <v>684</v>
      </c>
      <c r="CV50" s="293" t="s">
        <v>968</v>
      </c>
      <c r="CW50" s="23" t="s">
        <v>969</v>
      </c>
      <c r="CX50" s="23" t="s">
        <v>970</v>
      </c>
      <c r="CY50" s="294"/>
      <c r="CZ50" s="404" t="s">
        <v>463</v>
      </c>
      <c r="DA50" s="403" t="s">
        <v>971</v>
      </c>
      <c r="DB50" s="22" t="s">
        <v>972</v>
      </c>
      <c r="DC50" s="22" t="s">
        <v>973</v>
      </c>
      <c r="DD50" s="22" t="s">
        <v>974</v>
      </c>
      <c r="DE50" s="22" t="s">
        <v>975</v>
      </c>
      <c r="DF50" s="23"/>
      <c r="DG50" s="44"/>
      <c r="DH50" s="326"/>
      <c r="DI50" s="403" t="s">
        <v>976</v>
      </c>
      <c r="DJ50" s="22"/>
      <c r="DK50" s="410"/>
      <c r="DL50" s="403" t="s">
        <v>691</v>
      </c>
      <c r="DM50" s="22" t="s">
        <v>977</v>
      </c>
      <c r="DN50" s="410"/>
      <c r="DO50" s="503"/>
      <c r="DP50" s="504"/>
      <c r="DQ50" s="505"/>
      <c r="DR50" s="325" t="s">
        <v>978</v>
      </c>
      <c r="DS50" s="23" t="s">
        <v>979</v>
      </c>
      <c r="DT50" s="23"/>
      <c r="DU50" s="404"/>
      <c r="DV50" s="32" t="s">
        <v>463</v>
      </c>
      <c r="DX50" t="s">
        <v>980</v>
      </c>
      <c r="DY50" s="2" t="s">
        <v>981</v>
      </c>
      <c r="DZ50" s="695">
        <v>0</v>
      </c>
    </row>
    <row r="51" spans="1:130" ht="16" customHeight="1" collapsed="1">
      <c r="A51" s="831" t="str">
        <f t="shared" ref="A51:A65" ca="1" si="86">IF(ISNUMBER(A16),A16,"")</f>
        <v/>
      </c>
      <c r="B51" s="687" t="e">
        <f ca="1">_xll.BDH($BD$1,B50,$BJ$1,$BJ$2,"EQY_CONSOLIDATED="&amp;$CS$3,"Points="&amp;$BG$2,"Per="&amp;$BG$1,"Dir=V","Fill=b","Dts=H","FX="&amp;$BJ$4,"scaling format",$BI$8,"cols=1;rows=15")</f>
        <v>#NAME?</v>
      </c>
      <c r="C51" s="687" t="e">
        <f ca="1">_xll.BDH($BD$1,C50,$BJ$1,$BJ$2,"EQY_CONSOLIDATED="&amp;$CS$3,"Points="&amp;$BG$2,"Per="&amp;$BG$1,"Dir=V","Fill=b","Dts=H","FX="&amp;$BJ$4,"scaling format",$BI$8,"cols=1;rows=15")</f>
        <v>#NAME?</v>
      </c>
      <c r="D51" s="687" t="e">
        <f ca="1">_xll.BDH($BD$1,D50,$BJ$1,$BJ$2,"EQY_CONSOLIDATED="&amp;$CS$3,"Points="&amp;$BG$2,"Per="&amp;$BG$1,"Dir=V","Fill=b","Dts=H","FX="&amp;$BJ$4,"scaling format",$BI$8,"cols=1;rows=15")</f>
        <v>#NAME?</v>
      </c>
      <c r="E51" s="687" t="e">
        <f ca="1">_xll.BDH($BD$1,E50,$BJ$1,$BJ$2,"EQY_CONSOLIDATED="&amp;$CS$3,"Points="&amp;$BG$2,"Per="&amp;$BG$1,"Dir=V","Fill=b","Dts=H","FX="&amp;$BJ$4,"scaling format",$BI$8,"cols=1;rows=15")</f>
        <v>#NAME?</v>
      </c>
      <c r="F51" s="687" t="str">
        <f ca="1">IFERROR(BF51-B51-C51-D51-E51,"")</f>
        <v/>
      </c>
      <c r="G51" s="687">
        <f t="shared" ref="G51:G66" ca="1" si="87">DU51</f>
        <v>0</v>
      </c>
      <c r="H51" s="687" t="e">
        <f ca="1">_xll.BDH($BD$1,H50,$BJ$1,$BJ$2,"EQY_CONSOLIDATED="&amp;$CS$3,"Points="&amp;$BG$2,"Per="&amp;$BG$1,"Dir=V","Fill=b","Dts=H","FX="&amp;$BJ$4,"scaling format",$BI$8,"cols=1;rows=15")</f>
        <v>#NAME?</v>
      </c>
      <c r="I51" s="687" t="e">
        <f ca="1">_xll.BDH($BD$1,I50,$BJ$1,$BJ$2,"EQY_CONSOLIDATED="&amp;$CS$3,"Points="&amp;$BG$2,"Per="&amp;$BG$1,"Dir=V","Fill=b","Dts=H","FX="&amp;$BJ$4,"scaling format",$BI$8,"cols=1;rows=15")</f>
        <v>#NAME?</v>
      </c>
      <c r="J51" s="687">
        <f t="shared" ref="J51:J66" ca="1" si="88">CS51</f>
        <v>0</v>
      </c>
      <c r="K51" s="687" t="e">
        <f ca="1">_xll.BDH($BD$1,K50,$BJ$1,$BJ$2,"EQY_CONSOLIDATED="&amp;$CS$3,"Points="&amp;$BG$2,"Per="&amp;$BG$1,"Dir=V","Fill=b","Dts=H","FX="&amp;$BJ$4,"scaling format",$BI$8,"cols=1;rows=15")</f>
        <v>#NAME?</v>
      </c>
      <c r="L51" s="687" t="e">
        <f ca="1">_xll.BDH($BD$1,L50,$BJ$1,$BJ$2,"EQY_CONSOLIDATED="&amp;$CS$3,"Points="&amp;$BG$2,"Per="&amp;$BG$1,"Dir=V","Fill=b","Dts=H","FX="&amp;$BJ$4,"scaling format",$BI$8,"cols=1;rows=15")</f>
        <v>#NAME?</v>
      </c>
      <c r="M51" s="687" t="str">
        <f t="shared" ref="M51:M66" ca="1" si="89">IFERROR(BG51-AU51-J51,"")</f>
        <v/>
      </c>
      <c r="N51" s="687" t="e">
        <f ca="1">_xll.BDH($BD$1,N50,$BJ$1,$BJ$2,"EQY_CONSOLIDATED="&amp;$CS$3,"Points="&amp;$BG$2,"Per="&amp;$BG$1,"Dir=V","Fill=b","Dts=H","FX="&amp;$BJ$4,"scaling format",$BI$8,"cols=1;rows=15")</f>
        <v>#NAME?</v>
      </c>
      <c r="O51" s="687" t="str">
        <f t="shared" ref="O51:O66" ca="1" si="90">IF(ISNUMBER(N51),N51-B51-C51-I51-J51,"")</f>
        <v/>
      </c>
      <c r="P51" s="687" t="str">
        <f ca="1">IFERROR(IF(ISNUMBER(N51),N51-AU51,""),"")</f>
        <v/>
      </c>
      <c r="Q51" s="687" t="str">
        <f t="shared" ref="Q51:Q66" ca="1" si="91">IFERROR(IF(ISNUMBER(N51),N51-B51-C51-I51-AU51-J51,""),"")</f>
        <v/>
      </c>
      <c r="R51" s="687" t="str">
        <f t="shared" ref="R51:R66" ca="1" si="92">IF(ISNUMBER(BF51),BF51-BH51,"")</f>
        <v/>
      </c>
      <c r="S51" s="687"/>
      <c r="T51" s="132" t="e">
        <f ca="1">_xll.BDH($BD$1,T50,$BJ$1,$BJ$2,"EQY_CONSOLIDATED="&amp;$CS$3,"Points="&amp;$BG$2,"Per="&amp;$BG$1,"Dir=V","Fill=0","Dts=H","FX="&amp;$BJ$4,"scaling format",$BI$8,"cols=1;rows=15")</f>
        <v>#NAME?</v>
      </c>
      <c r="U51" s="687" t="str">
        <f t="shared" ref="U51:U66" ca="1" si="93">IFERROR(IF(ISNUMBER(BH51),BH51-BI51-T51,""),"")</f>
        <v/>
      </c>
      <c r="V51" s="687" t="str">
        <f t="shared" ref="V51:V66" ca="1" si="94">IF(ISNUMBER(B51),BK51,"")</f>
        <v/>
      </c>
      <c r="W51" s="687" t="str">
        <f t="shared" ref="W51:W66" ca="1" si="95">IF(ISNUMBER(B51),BJ51,"")</f>
        <v/>
      </c>
      <c r="X51" s="687" t="str">
        <f t="shared" ref="X51:X66" ca="1" si="96">IF(ISNUMBER(B51),BN51,"")</f>
        <v/>
      </c>
      <c r="Y51" s="687" t="str">
        <f t="shared" ref="Y51:Y66" ca="1" si="97">IF(ISNUMBER(B51),BM51,"")</f>
        <v/>
      </c>
      <c r="Z51" s="687" t="str">
        <f t="shared" ref="Z51:Z66" ca="1" si="98">IF(ISNUMBER(BL51),AY51-BL51,"")</f>
        <v/>
      </c>
      <c r="AA51" s="687" t="str">
        <f t="shared" ref="AA51:AA66" ca="1" si="99">IF(AND(ISNUMBER(BN51)*ISNUMBER(B51)),BI51+BN51+BC51-B51-C51-I51,"")</f>
        <v/>
      </c>
      <c r="AB51" s="687" t="e">
        <f ca="1">_xll.BDH($BD$1,AB50,$BJ$1,$BJ$2,"EQY_CONSOLIDATED="&amp;$CS$3,"Points="&amp;$BG$2,"Per="&amp;$BG$1,"Dir=V","Fill=b","Dts=H","FX="&amp;$BJ$4,"scaling format",$BI$8,"cols=1;rows=15")</f>
        <v>#NAME?</v>
      </c>
      <c r="AC51" s="687" t="e">
        <f ca="1">_xll.BDH($BD$1,AC50,$BJ$1,$BJ$2,"EQY_CONSOLIDATED="&amp;$CS$3,"Points="&amp;$BG$2,"Per="&amp;$BG$1,"Dir=V","Fill=b","Dts=H","FX="&amp;$BJ$4,"scaling format",BI8,"cols=1;rows=15")</f>
        <v>#NAME?</v>
      </c>
      <c r="AD51" s="687" t="str">
        <f t="shared" ref="AD51:AD66" ca="1" si="100">IF(AND(ISNUMBER(AC51),ISNUMBER(AE51)),AC51-AE51,"")</f>
        <v/>
      </c>
      <c r="AE51" s="687" t="e">
        <f ca="1">_xll.BDH($BD$1,AE50,$BJ$1,$BJ$2,"EQY_CONSOLIDATED="&amp;$CS$3,"Points="&amp;$BG$2,"Per="&amp;$BG$1,"Dir=V","Fill=b","Dts=H","FX="&amp;$BJ$4,"scaling format",$BI$8,"cols=1;rows=15")</f>
        <v>#NAME?</v>
      </c>
      <c r="AF51" s="687" t="str">
        <f t="shared" ref="AF51:AF66" ca="1" si="101">IF(ISNUMBER(N51),AE51-AU51,"")</f>
        <v/>
      </c>
      <c r="AG51" s="811" t="str">
        <f t="shared" ref="AG51:AG66" ca="1" si="102">IF(ISNUMBER(B51),IFERROR(IF($BI$8="TRN",((B51+C51+I51-BI51-BN51-BC51)*1000000)/DR16,IF($BI$8="BLN",((B51+C51+I51-BI51-BN51-BC51)*1000)/DR16,(B51+C51+I51-BI51-BN51-BC51)/DR16)),""),"")</f>
        <v/>
      </c>
      <c r="AH51" s="805" t="str">
        <f t="shared" ref="AH51:AH65" ca="1" si="103">IF(ISNUMBER(CV16),CV16,"")</f>
        <v/>
      </c>
      <c r="AI51" s="912" t="str">
        <f t="shared" ref="AI51:AI66" ca="1" si="104">IF(ISNUMBER(AF51),IFERROR(IF($BI$8="TRN",(AF51*1000000)/DR16,IF($BI$8="BLN",(AF51*1000)/DR16,AF51/DR16)),""),"")</f>
        <v/>
      </c>
      <c r="AJ51" s="815" t="str">
        <f t="shared" ref="AJ51:AJ66" ca="1" si="105">IF(ISNUMBER(N51),N51/AE51,"")</f>
        <v/>
      </c>
      <c r="AK51" s="75" t="str">
        <f t="shared" ref="AK51:AK66" ca="1" si="106">IFERROR(AA51/F16,"")</f>
        <v/>
      </c>
      <c r="AL51" s="805" t="e">
        <f ca="1">_xll.BDH($BD$1,AL50,$BJ$1,$BJ$2,"EQY_CONSOLIDATED="&amp;$CS$3,"Points="&amp;$BG$2,"Per="&amp;$BG$1,"Dir=V","Fill=b","Dts=H","FX="&amp;$BJ$4,"cols=1;rows=15")</f>
        <v>#NAME?</v>
      </c>
      <c r="AM51" s="811" t="str">
        <f t="shared" ref="AM51:AM66" ca="1" si="107">IFERROR(H16/BI16,"")</f>
        <v/>
      </c>
      <c r="AN51" s="913" t="str">
        <f t="shared" ref="AN51:AN66" ca="1" si="108">IFERROR(AA51/AE51*100,"")</f>
        <v/>
      </c>
      <c r="AO51" s="74" t="str">
        <f t="shared" ref="AO51:AO66" ca="1" si="109">IFERROR(E51/BC71*365,"")</f>
        <v/>
      </c>
      <c r="AP51" s="687" t="str">
        <f t="shared" ref="AP51:AP65" ca="1" si="110">IFERROR(D51/B16*365,"")</f>
        <v/>
      </c>
      <c r="AQ51" s="687" t="str">
        <f t="shared" ref="AQ51:AQ66" ca="1" si="111">IFERROR(T51/BC71*365,"")</f>
        <v/>
      </c>
      <c r="AR51" s="767" t="str">
        <f t="shared" ref="AR51:AR66" ca="1" si="112">IF(AND(ISNUMBER(AO51),ISNUMBER(AP51),ISNUMBER(AQ51)),AO51+AP51-AQ51,"")</f>
        <v/>
      </c>
      <c r="AS51" s="914" t="e">
        <f ca="1">_xll.BDH($BK$3,AS50,$BJ$1,$BJ$2,"EQY_CONSOLIDATED="&amp;$CS$3,"Points="&amp;$BG$2,"Per=ay","Dir=V","Fill=b","Dts=H","FX="&amp;$BJ$4,"cols=1;rows=15")</f>
        <v>#NAME?</v>
      </c>
      <c r="AU51" s="327" t="e">
        <f ca="1">_xll.BDH($BD$1,AU50,$BJ$1,$BJ$2,"EQY_CONSOLIDATED="&amp;$CS$3,"Points="&amp;$BG$2,"Per="&amp;$BG$1,"Dir=V","Fill=0","Dts=H","FX="&amp;$BJ$4,"scaling format",$BI$8,"cols=1;rows=15")</f>
        <v>#NAME?</v>
      </c>
      <c r="AV51" s="915" t="str">
        <f t="shared" ref="AV51:AV66" ca="1" si="113">IFERROR(AA51/AF51*100,"")</f>
        <v/>
      </c>
      <c r="AW51" s="515" t="str">
        <f t="shared" ref="AW51:AW66" ca="1" si="114">IF(ISNUMBER(R51),IFERROR(R51/B16*100,""),"")</f>
        <v/>
      </c>
      <c r="AX51" s="915" t="str">
        <f t="shared" ref="AX51:AX66" ca="1" si="115">IFERROR((BI51+BN51+BC51)/F16*100,"")</f>
        <v/>
      </c>
      <c r="AY51" s="916" t="e">
        <f ca="1">_xll.BDH($BD$1,AY50,$BJ$1,$BJ$2,"EQY_CONSOLIDATED="&amp;$CS$3,"Points="&amp;$BG$2,"Per="&amp;$BG$1,"Dir=V","Fill=0","Dts=H","FX="&amp;$BJ$4,"scaling format",$BI$8,"cols=1;rows=15")</f>
        <v>#NAME?</v>
      </c>
      <c r="AZ51" s="917" t="str">
        <f t="shared" ref="AZ51:AZ66" ca="1" si="116">IF(ISNUMBER(AE51),IFERROR(IF($BI$8="TRN",(AE51*1000000)/DR16,IF($BI$8="BLN",(AE51*1000)/DR16,AE51/DR16)),""),"")</f>
        <v/>
      </c>
      <c r="BC51" s="33" t="e">
        <f ca="1">_xll.BDH($BD$1,BC50,$BJ$1,$BJ$2,"EQY_CONSOLIDATED="&amp;$CS$3,"Points="&amp;$BG$2,"Per="&amp;$BG$1,"Dir=V","Fill=0","Dts=H","FX="&amp;$BJ$4,"scaling format",$BI$8,"cols=1;rows=15")</f>
        <v>#NAME?</v>
      </c>
      <c r="BD51" s="327" t="str">
        <f t="shared" ref="BD51:BD66" ca="1" si="117">IFERROR(BE51-BH51,"")</f>
        <v/>
      </c>
      <c r="BE51" s="8" t="str">
        <f t="shared" ref="BE51:BE66" ca="1" si="118">IF(ISNUMBER(BF51),BF51-B51-C51,"")</f>
        <v/>
      </c>
      <c r="BF51" s="8" t="e">
        <f ca="1">_xll.BDH($BD$1,BF50,$BJ$1,$BJ$2,"EQY_CONSOLIDATED="&amp;$CS$3,"Points="&amp;$BG$2,"Per="&amp;$BG$1,"Dir=V","Fill=b","Dts=H","FX="&amp;$BJ$4,"scaling format",$BI$8,"cols=1;rows=15")</f>
        <v>#NAME?</v>
      </c>
      <c r="BG51" s="8" t="e">
        <f ca="1">_xll.BDH($BD$1,BG50,$BJ$1,$BJ$2,"EQY_CONSOLIDATED="&amp;$CS$3,"Points="&amp;$BG$2,"Per="&amp;$BG$1,"Dir=V","Fill=b","Dts=H","FX="&amp;$BJ$4,"scaling format",$BI$8,"cols=1;rows=15")</f>
        <v>#NAME?</v>
      </c>
      <c r="BH51" s="328" t="e">
        <f ca="1">_xll.BDH($BD$1,BH50,$BJ$1,$BJ$2,"EQY_CONSOLIDATED="&amp;$CS$3,"Points="&amp;$BG$2,"Per="&amp;$BG$1,"Dir=V","Fill=b","Dts=H","FX="&amp;$BJ$4,"scaling format",$BI$8,"cols=1;rows=15")</f>
        <v>#NAME?</v>
      </c>
      <c r="BI51" s="327" t="e">
        <f ca="1">_xll.BDH($BD$1,BI50,$BJ$1,$BJ$2,"EQY_CONSOLIDATED="&amp;$CS$3,"Points="&amp;$BG$2,"Per="&amp;$BG$1,"Dir=V","Fill=b","Dts=H","FX="&amp;$BJ$4,"scaling format",$BI$8,"cols=1;rows=15")</f>
        <v>#NAME?</v>
      </c>
      <c r="BJ51" s="8" t="e">
        <f ca="1">_xll.BDH($BD$1,BJ50,$BJ$1,$BJ$2,"EQY_CONSOLIDATED="&amp;$CS$3,"Points="&amp;$BG$2,"Per="&amp;$BG$1,"Dir=V","Fill=0","Dts=H","FX="&amp;$BJ$4,"scaling format",$BI$8)</f>
        <v>#NAME?</v>
      </c>
      <c r="BK51" s="8" t="e">
        <f t="shared" ref="BK51:BK66" ca="1" si="119">BI51-BJ51</f>
        <v>#NAME?</v>
      </c>
      <c r="BL51" s="8" t="e">
        <f ca="1">_xll.BDH($BD$1,BL50,$BJ$1,$BJ$2,"EQY_CONSOLIDATED="&amp;$CS$3,"Points="&amp;$BG$2,"Per="&amp;$BG$1,"Dir=V","Fill=b","Dts=H","FX="&amp;$BJ$4,"scaling format",$BI$8,"cols=1;rows=15")</f>
        <v>#NAME?</v>
      </c>
      <c r="BM51" s="8" t="e">
        <f ca="1">_xll.BDH($BD$1,BM50,$BJ$1,$BJ$2,"EQY_CONSOLIDATED="&amp;$CS$3,"Points="&amp;$BG$2,"Per="&amp;$BG$1,"Dir=V","Fill=0","Dts=H","FX="&amp;$BJ$4,"scaling format",$BI$8)</f>
        <v>#NAME?</v>
      </c>
      <c r="BN51" s="328" t="e">
        <f t="shared" ref="BN51:BN66" ca="1" si="120">BL51-BM51</f>
        <v>#NAME?</v>
      </c>
      <c r="BO51" s="327" t="e">
        <f ca="1">_xll.BDH($BD$1,BO50,$BJ$1,$BJ$2,"EQY_CONSOLIDATED="&amp;$CS$3,"Points="&amp;$BG$2,"Per="&amp;$BG$1,"Dir=V","Fill=b","Dts=H","FX="&amp;$BJ$4,"scaling format",$BI$8,"cols=1;rows=15")</f>
        <v>#NAME?</v>
      </c>
      <c r="BP51" s="8" t="e">
        <f ca="1">_xll.BDH($BD$1,BP50,$BJ$1,$BJ$2,"EQY_CONSOLIDATED="&amp;$CS$3,"Points="&amp;$BG$2,"Per="&amp;$BG$1,"Dir=V","Fill=b","Dts=H","FX="&amp;$BJ$4,"scaling format",$BI$8,"cols=1;rows=15")</f>
        <v>#NAME?</v>
      </c>
      <c r="BQ51" s="8" t="str">
        <f t="shared" ref="BQ51:BQ66" ca="1" si="121">IFERROR(IF(AND(ISNUMBER(BO51),ISNUMBER(BP51)),BO51-BP51,""),"")</f>
        <v/>
      </c>
      <c r="BR51" s="328" t="str">
        <f t="shared" ref="BR51:BR66" ca="1" si="122">IFERROR(BQ51/BO51*100,"")</f>
        <v/>
      </c>
      <c r="BS51" s="327" t="e">
        <f t="array" aca="1" ref="BS51" ca="1">_xll.BDP($BD$1,"bs cash near cash item","eqy fund relative period","-0fq","eqy consolidated="&amp;$CS$3,"eqy fund crncy="&amp;$BJ$4,"scaling format",$BI$8)</f>
        <v>#NAME?</v>
      </c>
      <c r="BT51" s="8" t="e">
        <f t="array" aca="1" ref="BT51" ca="1">_xll.BDP($BD$1,"bs net fix asset","eqy fund relative period","-0fq","eqy consolidated="&amp;$CS$3,"eqy fund crncy="&amp;$BJ$4,"scaling format",$BI$8)</f>
        <v>#NAME?</v>
      </c>
      <c r="BU51" s="8" t="e">
        <f t="array" aca="1" ref="BU51" ca="1">_xll.BDP($BD$1,"bs disclosed intangibles","eqy fund relative period","-0fq","eqy consolidated="&amp;$CS$3,"eqy fund crncy="&amp;$BJ$4,"scaling format",$BI$8)</f>
        <v>#NAME?</v>
      </c>
      <c r="BV51" s="8" t="e">
        <f t="array" aca="1" ref="BV51" ca="1">_xll.BDP($BD$1,"bs lt borrow","eqy fund relative period","-0fq","eqy consolidated="&amp;$CS$3,"eqy fund crncy="&amp;$BJ$4,"scaling format",$BI$8)</f>
        <v>#NAME?</v>
      </c>
      <c r="BW51" s="8" t="e">
        <f t="array" aca="1" ref="BW51" ca="1">_xll.BDP($BD$1,"tot common eqy","eqy fund relative period","-0fq","eqy consolidated="&amp;$CS$3,"eqy fund crncy="&amp;$BJ$4,"scaling format",$BI$8)</f>
        <v>#NAME?</v>
      </c>
      <c r="BX51" s="328" t="e">
        <f t="array" aca="1" ref="BX51" ca="1">_xll.BDP($BD$1,"tot debt to tot eqy","eqy fund relative period","-0fq","eqy consolidated="&amp;$CS$3,"eqy fund crncy="&amp;$BJ$4)</f>
        <v>#NAME?</v>
      </c>
      <c r="BY51" s="33" t="e">
        <f t="shared" ref="BY51:BY66" ca="1" si="123">B16/DK51</f>
        <v>#NAME?</v>
      </c>
      <c r="BZ51" s="820" t="e">
        <f ca="1">_xll.BDH($BD$1,BZ50,$BJ$1,$BJ$2,"EQY_CONSOLIDATED="&amp;$CS$3,"Points="&amp;$BG$2,"Per="&amp;$BG$1,"Dir=V","Fill=b","Dts=H","FX="&amp;$BJ$4,"scaling format",$BI$8,"cols=1;rows=15")</f>
        <v>#NAME?</v>
      </c>
      <c r="CA51" s="821" t="e">
        <f ca="1">_xll.BDH($BD$1,CA50,$BJ$1,$BJ$2,"EQY_CONSOLIDATED="&amp;$CS$3,"Points="&amp;$BG$2,"Per="&amp;$BG$1,"Dir=V","Fill=b","Dts=H","FX="&amp;$BJ$4,"scaling format",$BI$8)</f>
        <v>#NAME?</v>
      </c>
      <c r="CB51" s="821" t="e">
        <f ca="1">_xll.BDH($BD$1,CB50,$BJ$1,$BJ$2,"EQY_CONSOLIDATED="&amp;$CS$3,"Points="&amp;$BG$2,"Per="&amp;$BG$1,"Dir=V","Fill=b","Dts=H","FX="&amp;$BJ$4,"scaling format",$BI$8)</f>
        <v>#NAME?</v>
      </c>
      <c r="CC51" s="823" t="str">
        <f t="shared" ref="CC51:CC65" ca="1" si="124">IF(ISNUMBER(BZ51),BZ51,IF(ISNUMBER(CA51),CA51,IF(ISNUMBER(CB51),CB51,"")))</f>
        <v/>
      </c>
      <c r="CD51" s="821" t="e">
        <f ca="1">_xll.BDH($BD$1,CD50,$BJ$1,$BJ$2,"EQY_CONSOLIDATED="&amp;$CS$3,"Points="&amp;$BG$2,"Per="&amp;$BG$1,"Dir=V","Fill=b","Dts=H","FX="&amp;$BJ$4,"scaling format",$BI$8,"cols=1;rows=15")</f>
        <v>#NAME?</v>
      </c>
      <c r="CE51" s="821" t="e">
        <f ca="1">_xll.BDH($BD$1,CE50,$BJ$1,$BJ$2,"EQY_CONSOLIDATED="&amp;$CS$3,"Points="&amp;$BG$2,"Per="&amp;$BG$1,"Dir=V","Fill=b","Dts=H","FX="&amp;$BJ$4,"scaling format",$BI$8)</f>
        <v>#NAME?</v>
      </c>
      <c r="CF51" s="821" t="e">
        <f ca="1">_xll.BDH($BD$1,CF50,$BJ$1,$BJ$2,"EQY_CONSOLIDATED="&amp;$CS$3,"Points="&amp;$BG$2,"Per="&amp;$BG$1,"Dir=V","Fill=b","Dts=H","FX="&amp;$BJ$4,"scaling format",$BI$8)</f>
        <v>#NAME?</v>
      </c>
      <c r="CG51" s="823" t="str">
        <f t="shared" ref="CG51:CG65" ca="1" si="125">IF(ISNUMBER(CD51),CD51,IF(ISNUMBER(CE51),CE51,IF(ISNUMBER(CF51),CF51,"")))</f>
        <v/>
      </c>
      <c r="CH51" s="48" t="e">
        <f ca="1">_xll.BDH($BD$1,CH50,$BJ$1,$BJ$2,"EQY_CONSOLIDATED="&amp;$CS$3,"Points="&amp;$BG$2,"Per="&amp;$BG$1,"Dir=V","Fill=b","Dts=H","FX="&amp;$BJ$4,"scaling format",$BI$8)</f>
        <v>#NAME?</v>
      </c>
      <c r="CI51" s="48" t="e">
        <f ca="1">_xll.BDH($BD$1,CI50,$BJ$1,$BJ$2,"EQY_CONSOLIDATED="&amp;$CS$3,"Points="&amp;$BG$2,"Per="&amp;$BG$1,"Dir=V","Fill=b","Dts=H","FX="&amp;$BJ$4,"scaling format",$BI$8)</f>
        <v>#NAME?</v>
      </c>
      <c r="CJ51" s="48" t="e">
        <f ca="1">_xll.BDH($BD$1,CJ50,$BJ$1,$BJ$2,"EQY_CONSOLIDATED="&amp;$CS$3,"Points="&amp;$BG$2,"Per="&amp;$BG$1,"Dir=V","Fill=b","Dts=H","FX="&amp;$BJ$4,"scaling format",$BI$8)</f>
        <v>#NAME?</v>
      </c>
      <c r="CK51" s="48" t="e">
        <f ca="1">_xll.BDH($BD$1,CK50,$BJ$1,$BJ$2,"EQY_CONSOLIDATED="&amp;$CS$3,"Points="&amp;$BG$2,"Per="&amp;$BG$1,"Dir=V","Fill=b","Dts=H","FX="&amp;$BJ$4,"scaling format",$BI$8)</f>
        <v>#NAME?</v>
      </c>
      <c r="CL51" s="48" t="e">
        <f ca="1">_xll.BDH($BD$1,CL50,$BJ$1,$BJ$2,"EQY_CONSOLIDATED="&amp;$CS$3,"Points="&amp;$BG$2,"Per="&amp;$BG$1,"Dir=V","Fill=b","Dts=H","FX="&amp;$BJ$4,"scaling format",$BI$8,"cols=1;rows=15")</f>
        <v>#NAME?</v>
      </c>
      <c r="CM51" s="48" t="e">
        <f ca="1">_xll.BDH($BD$1,CM50,$BJ$1,$BJ$2,"EQY_CONSOLIDATED="&amp;$CS$3,"Points="&amp;$BG$2,"Per="&amp;$BG$1,"Dir=V","Fill=b","Dts=H","FX="&amp;$BJ$4,"scaling format",$BI$8)</f>
        <v>#NAME?</v>
      </c>
      <c r="CN51" s="48" t="e">
        <f t="array" aca="1" ref="CN51" ca="1">_xll.BDH($BD$1,CN50,$BJ$1,$BJ$2,"EQY_CONSOLIDATED="&amp;$CS$3,"Points="&amp;$BG$2,"Per="&amp;$BG$1,"Dir=V","Fill=b","Dts=H","FX="&amp;$BJ$4,"scaling format",$BI$8)</f>
        <v>#NAME?</v>
      </c>
      <c r="CO51" s="349" t="e">
        <f t="shared" ref="CO51:CO65" ca="1" si="126">IF($CG$47=1,CH51,IF($CH$47=1,CI51,IF($CI$47=1,CJ51,IF($CJ$47=1,CK51,IF($CK$47=1,CL51,IF($CL$47=1,CM51,IF($CM$47=1,CN51,"")))))))</f>
        <v>#NAME?</v>
      </c>
      <c r="CP51" s="49" t="e">
        <f ca="1">_xll.BDH($BD$1,CP50,$BJ$1,$BJ$2,"EQY_CONSOLIDATED="&amp;$CS$3,"Points="&amp;$BG$2,"Per="&amp;$BG$1,"Dir=V","Fill=b","Dts=H","FX="&amp;$BJ$4,"scaling format",$BI$8,"cols=1;rows=15")</f>
        <v>#NAME?</v>
      </c>
      <c r="CQ51" s="49" t="e">
        <f ca="1">_xll.BDH($BD$1,CQ50,$BJ$1,$BJ$2,"EQY_CONSOLIDATED="&amp;$CS$3,"Points="&amp;$BG$2,"Per="&amp;$BG$1,"Dir=V","Fill=b","Dts=H","FX="&amp;$BJ$4,"scaling format",$BI$8)</f>
        <v>#NAME?</v>
      </c>
      <c r="CR51" s="49" t="e">
        <f ca="1">_xll.BDH($BD$1,CR50,$BJ$1,$BJ$2,"EQY_CONSOLIDATED="&amp;$CS$3,"Points="&amp;$BG$2,"Per="&amp;$BG$1,"Dir=V","Fill=b","Dts=H","FX="&amp;$BJ$4,"scaling format",$BI$8)</f>
        <v>#NAME?</v>
      </c>
      <c r="CS51" s="918">
        <f t="shared" ref="CS51:CS66" ca="1" si="127">IF(ISNUMBER(CP51),CP51,IF(ISNUMBER(CQ51),CQ51,IF(ISNUMBER(CR51),CR51,0)))</f>
        <v>0</v>
      </c>
      <c r="CT51" s="832" t="e">
        <f t="array" aca="1" ref="CT51" ca="1">_xll.BDP($BD$1,"bs invest in assoc co","eqy fund relative period","-0fq","eqy consolidated="&amp;$CS$3,"eqy fund crncy="&amp;$BJ$4,"scaling format",$BI$8)</f>
        <v>#NAME?</v>
      </c>
      <c r="CU51" s="871" t="e">
        <f ca="1">_xll.BDH($BD$1,CU50,$BJ$1,$BJ$2,"EQY_CONSOLIDATED="&amp;$CS$3,"Points="&amp;$BG$2,"Per="&amp;$BG$1,"Dir=V","Fill=b","Dts=H","FX="&amp;$BJ$4,"scaling format",$BI$8,"cols=1;rows=15")</f>
        <v>#NAME?</v>
      </c>
      <c r="CV51" s="919" t="e">
        <f ca="1">_xll.BDH($BD$1,CV50,$BJ$1,$BJ$2,"EQY_CONSOLIDATED="&amp;$CS$3,"Points="&amp;$BG$2,"Per="&amp;$BG$1,"Dir=V","Fill=b","Dts=H","FX="&amp;$BJ$4,"scaling format",$BI$8,"cols=1;rows=15")</f>
        <v>#NAME?</v>
      </c>
      <c r="CW51" s="919" t="e">
        <f ca="1">_xll.BDH($BD$1,CW50,$BJ$1,$BJ$2,"EQY_CONSOLIDATED="&amp;$CS$3,"Points="&amp;$BG$2,"Per="&amp;$BG$1,"Dir=V","Fill=b","Dts=H","FX="&amp;$BJ$4,"scaling format",$BI$8,"cols=1;rows=15")</f>
        <v>#NAME?</v>
      </c>
      <c r="CX51" s="919" t="e">
        <f ca="1">_xll.BDH($BD$1,CX50,$BJ$1,$BJ$2,"EQY_CONSOLIDATED="&amp;$CS$3,"Points="&amp;$BG$2,"Per="&amp;$BG$1,"Dir=V","Fill=b","Dts=H","FX="&amp;$BJ$4,"scaling format",$BI$8,"cols=1;rows=15")</f>
        <v>#NAME?</v>
      </c>
      <c r="CY51" s="920" t="str">
        <f t="shared" ref="CY51:CY65" ca="1" si="128">IF(ISNUMBER(CU51),CU51,IF(ISNUMBER(CV51),CV51,IF(ISNUMBER(CW51),CW51,IF(ISNUMBER(CX51),CX51,""))))</f>
        <v/>
      </c>
      <c r="CZ51" s="525" t="str">
        <f t="shared" ref="CZ51:CZ65" ca="1" si="129">IFERROR(CY51/B16*100,"")</f>
        <v/>
      </c>
      <c r="DA51" s="327" t="e">
        <f ca="1">_xll.BDH($BD$1,DA50,$BJ$1,$BJ$2,"EQY_CONSOLIDATED="&amp;$CS$3,"Points="&amp;$BG$2,"Per="&amp;$BG$1,"Dir=V","Fill=b","Dts=H","FX="&amp;$BJ$4,"scaling format",$BI$8)</f>
        <v>#NAME?</v>
      </c>
      <c r="DB51" s="8" t="e">
        <f ca="1">_xll.BDH($BD$1,DB50,$BJ$1,$BJ$2,"EQY_CONSOLIDATED="&amp;$CS$3,"Points="&amp;$BG$2,"Per="&amp;$BG$1,"Dir=V","Fill=b","Dts=H","FX="&amp;$BJ$4,"scaling format",$BI$8)</f>
        <v>#NAME?</v>
      </c>
      <c r="DC51" s="8" t="e">
        <f ca="1">_xll.BDH($BD$1,DC50,$BJ$1,$BJ$2,"EQY_CONSOLIDATED="&amp;$CS$3,"Points="&amp;$BG$2,"Per="&amp;$BG$1,"Dir=V","Fill=b","Dts=H","FX="&amp;$BJ$4,"scaling format",$BI$8,"cols=1;rows=15")</f>
        <v>#NAME?</v>
      </c>
      <c r="DD51" s="8" t="e">
        <f ca="1">_xll.BDH($BD$1,DD50,$BJ$1,$BJ$2,"EQY_CONSOLIDATED="&amp;$CS$3,"Points="&amp;$BG$2,"Per="&amp;$BG$1,"Dir=V","Fill=b","Dts=H","FX="&amp;$BJ$4,"scaling format",$BI$8,"cols=1;rows=15")</f>
        <v>#NAME?</v>
      </c>
      <c r="DE51" s="919" t="e">
        <f ca="1">_xll.BDH($BD$1,DE50,$BJ$1,$BJ$2,"EQY_CONSOLIDATED="&amp;$CS$3,"Points="&amp;$BG$2,"Per="&amp;$BG$1,"Dir=V","Fill=b","Dts=H","FX="&amp;$BJ$4,"scaling format",$BI$8,"cols=1;rows=15")</f>
        <v>#NAME?</v>
      </c>
      <c r="DF51" s="919" t="str">
        <f t="shared" ref="DF51:DF65" ca="1" si="130">IF(ISNUMBER(DA51),DA51,IF(ISNUMBER(DB51),DB51,IF(AND(ISNUMBER(DE51),ISNUMBER(DC51)),DE51-DC51,"")))</f>
        <v/>
      </c>
      <c r="DG51" s="921" t="str">
        <f t="shared" ref="DG51:DG66" ca="1" si="131">IF(ISNUMBER(DB51),DB51,IF(ISNUMBER(DC51),DC51,IF(AND(ISNUMBER(DE51),ISNUMBER(DD51)),DE51-DD51,"")))</f>
        <v/>
      </c>
      <c r="DH51" s="721" t="str">
        <f t="shared" ref="DH51:DH66" ca="1" si="132">IFERROR(DG51/B16,"")</f>
        <v/>
      </c>
      <c r="DI51" s="327" t="e">
        <f ca="1">_xll.BDH($BD$1,DI50,$BJ$1,$BJ$2,"EQY_CONSOLIDATED="&amp;$CS$3,"Points="&amp;$BG$2,"Per="&amp;$BG$1,"Dir=V","Fill=b","Dts=H","FX="&amp;$BJ$4,"cols=1;rows=15")</f>
        <v>#NAME?</v>
      </c>
      <c r="DJ51" s="8" t="e">
        <f t="shared" ref="DJ51:DJ66" ca="1" si="133">BC16</f>
        <v>#NAME?</v>
      </c>
      <c r="DK51" s="922" t="e">
        <f t="shared" ref="DK51:DK66" ca="1" si="134">IF(ISNUMBER(DI51),DI51,IF(AND(ISNUMBER(DJ51),DJ51&gt;0),DJ51,""))</f>
        <v>#NAME?</v>
      </c>
      <c r="DL51" s="380" t="e">
        <f ca="1">_xll.BDH($BD$1,DL50,$A$16,$A$30,"EQY_CONSOLIDATED="&amp;$CS$3,"Points="&amp;$BG$2,"Per="&amp;$BG$1,"Dir=V","Fill=b","Dts=H","FX="&amp;$BJ$4,"cols=1;rows=15")</f>
        <v>#NAME?</v>
      </c>
      <c r="DM51" s="299" t="e">
        <f ca="1">_xll.BDH($BD$1,DM50,$BJ$1,$BJ$2,"EQY_CONSOLIDATED="&amp;$CS$3,"Points="&amp;$BG$2,"Per="&amp;$BG$1,"Dir=V","Fill=b","Dts=H","FX="&amp;$BJ$4,"cols=1;rows=15")</f>
        <v>#NAME?</v>
      </c>
      <c r="DN51" s="411" t="str">
        <f t="shared" ref="DN51:DN66" ca="1" si="135">IF(ISNUMBER(DL51),DL51,IF(ISNUMBER(DM51),DM51,""))</f>
        <v/>
      </c>
      <c r="DO51" s="923" t="str">
        <f t="shared" ref="DO51:DO66" ca="1" si="136">IF(ISNUMBER(P51),IFERROR(P51/AF51,""),"")</f>
        <v/>
      </c>
      <c r="DP51" s="924" t="str">
        <f t="shared" ref="DP51:DP66" ca="1" si="137">IFERROR(F16/BI16,"")</f>
        <v/>
      </c>
      <c r="DQ51" s="925" t="str">
        <f t="shared" ref="DQ51:DQ66" ca="1" si="138">IF(ISNUMBER(BF51),BF51/BH51,"")</f>
        <v/>
      </c>
      <c r="DR51" s="506" t="e">
        <f ca="1">_xll.BDH($BD$1,DR50,$BJ$1,$BJ$2,"EQY_CONSOLIDATED="&amp;$CS$3,"Points="&amp;$BG$2,"Per="&amp;$BG$1,"Dir=V","Fill=b","Dts=H","FX="&amp;$BJ$4,"scaling format",$BI$8)</f>
        <v>#NAME?</v>
      </c>
      <c r="DS51" s="18" t="e">
        <f ca="1">_xll.BDH($BD$1,DS50,$BJ$1,$BJ$2,"EQY_CONSOLIDATED="&amp;$CS$3,"Points="&amp;$BG$2,"Per="&amp;$BG$1,"Dir=V","Fill=b","Dts=H","FX="&amp;$BJ$4,"scaling format",$BI$8)</f>
        <v>#NAME?</v>
      </c>
      <c r="DT51" s="169" t="str">
        <f t="shared" ref="DT51:DT66" ca="1" si="139">IF(AND(ISNUMBER(W51),ISNUMBER(Y51)),W51+Y51,"")</f>
        <v/>
      </c>
      <c r="DU51" s="926">
        <f t="shared" ref="DU51:DU66" ca="1" si="140">IF(ISNUMBER(DR51),DR51,IF(ISNUMBER(DS51),DS51,IF(ISNUMBER(DT51),DT51,0)))</f>
        <v>0</v>
      </c>
      <c r="DV51" s="927" t="e">
        <f t="array" aca="1" ref="DV51" ca="1">_xll.BDP($BD$1,"tot oper lea rt of use assets","eqy fund relative period","-0fq","eqy consolidated="&amp;$CS$3,"eqy fund crncy="&amp;$BJ$4,"scaling format",$BI$8)</f>
        <v>#NAME?</v>
      </c>
      <c r="DX51" t="s">
        <v>982</v>
      </c>
      <c r="DY51" s="2" t="s">
        <v>983</v>
      </c>
      <c r="DZ51" s="695">
        <v>0.1</v>
      </c>
    </row>
    <row r="52" spans="1:130" ht="16" customHeight="1">
      <c r="A52" s="831">
        <f t="shared" si="86"/>
        <v>40543</v>
      </c>
      <c r="B52" s="74">
        <v>69.305000000000007</v>
      </c>
      <c r="C52" s="687">
        <v>0</v>
      </c>
      <c r="D52" s="687">
        <v>86.918000000000006</v>
      </c>
      <c r="E52" s="687">
        <v>79.269000000000005</v>
      </c>
      <c r="F52" s="687">
        <f t="shared" ref="F52:F66" si="141">IF(ISNUMBER(E52),BF52-B52-C52-D52-E52,"")</f>
        <v>8.7959999999999923</v>
      </c>
      <c r="G52" s="687">
        <f t="shared" si="87"/>
        <v>0</v>
      </c>
      <c r="H52" s="687">
        <v>26.032</v>
      </c>
      <c r="I52" s="687">
        <v>0</v>
      </c>
      <c r="J52" s="687">
        <f t="shared" si="88"/>
        <v>0</v>
      </c>
      <c r="K52" s="687">
        <v>43.823</v>
      </c>
      <c r="L52" s="687">
        <v>22.919</v>
      </c>
      <c r="M52" s="687">
        <f t="shared" si="89"/>
        <v>13.421999999999997</v>
      </c>
      <c r="N52" s="687">
        <v>350.48399999999998</v>
      </c>
      <c r="O52" s="687">
        <f t="shared" si="90"/>
        <v>281.17899999999997</v>
      </c>
      <c r="P52" s="687">
        <f t="shared" ref="P52:P65" si="142">IF(ISNUMBER(N52),N52-AU52,"")</f>
        <v>283.74199999999996</v>
      </c>
      <c r="Q52" s="687">
        <f t="shared" si="91"/>
        <v>214.43699999999995</v>
      </c>
      <c r="R52" s="687">
        <f t="shared" si="92"/>
        <v>145.54599999999999</v>
      </c>
      <c r="S52" s="687" t="str">
        <f t="shared" ref="S52:S66" ca="1" si="143">IFERROR(BD52-BD51,"")</f>
        <v/>
      </c>
      <c r="T52" s="132">
        <v>42.625999999999998</v>
      </c>
      <c r="U52" s="687">
        <f t="shared" si="93"/>
        <v>37.892000000000003</v>
      </c>
      <c r="V52" s="687">
        <f t="shared" si="94"/>
        <v>18.224</v>
      </c>
      <c r="W52" s="687">
        <f t="shared" si="95"/>
        <v>0</v>
      </c>
      <c r="X52" s="687">
        <f t="shared" si="96"/>
        <v>28.152000000000001</v>
      </c>
      <c r="Y52" s="687">
        <f t="shared" si="97"/>
        <v>0</v>
      </c>
      <c r="Z52" s="687">
        <f t="shared" si="98"/>
        <v>4.5779999999999959</v>
      </c>
      <c r="AA52" s="687">
        <f t="shared" si="99"/>
        <v>-19.007000000000005</v>
      </c>
      <c r="AB52" s="687">
        <v>-8.2240000000000002</v>
      </c>
      <c r="AC52" s="687">
        <v>219.012</v>
      </c>
      <c r="AD52" s="687">
        <f t="shared" si="100"/>
        <v>0.76800000000000068</v>
      </c>
      <c r="AE52" s="687">
        <v>218.244</v>
      </c>
      <c r="AF52" s="687">
        <f t="shared" si="101"/>
        <v>151.50200000000001</v>
      </c>
      <c r="AG52" s="811" t="str">
        <f t="shared" ca="1" si="102"/>
        <v/>
      </c>
      <c r="AH52" s="805" t="str">
        <f t="shared" si="103"/>
        <v/>
      </c>
      <c r="AI52" s="912" t="str">
        <f t="shared" ca="1" si="104"/>
        <v/>
      </c>
      <c r="AJ52" s="815">
        <f t="shared" si="105"/>
        <v>1.6059273107164458</v>
      </c>
      <c r="AK52" s="75">
        <f t="shared" si="106"/>
        <v>-0.3158305777570995</v>
      </c>
      <c r="AL52" s="805">
        <v>21.1751</v>
      </c>
      <c r="AM52" s="811">
        <f t="shared" si="107"/>
        <v>18.34965034965035</v>
      </c>
      <c r="AN52" s="913">
        <f t="shared" si="108"/>
        <v>-8.7090595846850327</v>
      </c>
      <c r="AO52" s="74">
        <f t="shared" si="109"/>
        <v>136.05436402879729</v>
      </c>
      <c r="AP52" s="687">
        <f t="shared" si="110"/>
        <v>90.346462612737042</v>
      </c>
      <c r="AQ52" s="687">
        <f t="shared" si="111"/>
        <v>73.161681377228334</v>
      </c>
      <c r="AR52" s="767">
        <f t="shared" si="112"/>
        <v>153.23914526430599</v>
      </c>
      <c r="AS52" s="928">
        <v>1.4237</v>
      </c>
      <c r="AU52" s="327">
        <v>66.742000000000004</v>
      </c>
      <c r="AV52" s="915">
        <f t="shared" si="113"/>
        <v>-12.545708967538385</v>
      </c>
      <c r="AW52" s="515">
        <f t="shared" si="114"/>
        <v>41.448501917989226</v>
      </c>
      <c r="AX52" s="915">
        <f t="shared" si="115"/>
        <v>83.577873415197487</v>
      </c>
      <c r="AY52" s="916">
        <v>32.729999999999997</v>
      </c>
      <c r="AZ52" s="917" t="str">
        <f t="shared" ca="1" si="116"/>
        <v/>
      </c>
      <c r="BC52" s="33">
        <v>3.9220000000000002</v>
      </c>
      <c r="BD52" s="327">
        <f t="shared" si="117"/>
        <v>76.241</v>
      </c>
      <c r="BE52" s="8">
        <f t="shared" si="118"/>
        <v>174.983</v>
      </c>
      <c r="BF52" s="8">
        <v>244.28800000000001</v>
      </c>
      <c r="BG52" s="8">
        <v>80.164000000000001</v>
      </c>
      <c r="BH52" s="328">
        <v>98.742000000000004</v>
      </c>
      <c r="BI52" s="327">
        <v>18.224</v>
      </c>
      <c r="BJ52" s="8"/>
      <c r="BK52" s="8">
        <f t="shared" si="119"/>
        <v>18.224</v>
      </c>
      <c r="BL52" s="8">
        <v>28.152000000000001</v>
      </c>
      <c r="BM52" s="8"/>
      <c r="BN52" s="328">
        <f t="shared" si="120"/>
        <v>28.152000000000001</v>
      </c>
      <c r="BO52" s="327">
        <v>0.14299999999999999</v>
      </c>
      <c r="BP52" s="8">
        <v>2.528</v>
      </c>
      <c r="BQ52" s="8">
        <f t="shared" si="121"/>
        <v>-2.3850000000000002</v>
      </c>
      <c r="BR52" s="328">
        <f t="shared" si="122"/>
        <v>-1667.8321678321681</v>
      </c>
      <c r="BS52" s="327" t="e">
        <f t="array" aca="1" ref="BS52" ca="1">_xll.BDP($BD$1,"bs cash near cash item","eqy fund relative period","-0fs","eqy consolidated="&amp;$CS$3,"eqy fund crncy="&amp;$BJ$4,"scaling format",$BI$8)</f>
        <v>#NAME?</v>
      </c>
      <c r="BT52" s="8" t="e">
        <f t="array" aca="1" ref="BT52" ca="1">_xll.BDP($BD$1,"bs net fix asset","eqy fund relative period","-0fs","eqy consolidated="&amp;$CS$3,"eqy fund crncy="&amp;$BJ$4,"scaling format",$BI$8)</f>
        <v>#NAME?</v>
      </c>
      <c r="BU52" s="8" t="e">
        <f t="array" aca="1" ref="BU52" ca="1">_xll.BDP($BD$1,"bs disclosed intangibles","eqy fund relative period","-0fs","eqy consolidated="&amp;$CS$3,"eqy fund crncy="&amp;$BJ$4,"scaling format",$BI$8,"fill=0")</f>
        <v>#NAME?</v>
      </c>
      <c r="BV52" s="8" t="e">
        <f t="array" aca="1" ref="BV52" ca="1">_xll.BDP($BD$1,"bs lt borrow","eqy fund relative period","-0fs","eqy consolidated="&amp;$CS$3,"eqy fund crncy="&amp;$BJ$4,"scaling format",$BI$8)</f>
        <v>#NAME?</v>
      </c>
      <c r="BW52" s="8" t="e">
        <f t="array" aca="1" ref="BW52" ca="1">_xll.BDP($BD$1,"tot common eqy","eqy fund relative period","-0fs","eqy consolidated="&amp;$CS$3,"eqy fund crncy="&amp;$BJ$4,"scaling format",$BI$8)</f>
        <v>#NAME?</v>
      </c>
      <c r="BX52" s="328" t="e">
        <f t="array" aca="1" ref="BX52" ca="1">_xll.BDP($BD$1,"tot debt to tot eqy","eqy fund relative period","-0fs","eqy consolidated="&amp;$CS$3,"eqy fund crncy="&amp;$BJ$4)</f>
        <v>#NAME?</v>
      </c>
      <c r="BY52" s="33">
        <f t="shared" si="123"/>
        <v>4.4643013790236354</v>
      </c>
      <c r="BZ52" s="820"/>
      <c r="CA52" s="821"/>
      <c r="CB52" s="821"/>
      <c r="CC52" s="823" t="str">
        <f t="shared" si="124"/>
        <v/>
      </c>
      <c r="CD52" s="821">
        <v>0</v>
      </c>
      <c r="CE52" s="821"/>
      <c r="CF52" s="821"/>
      <c r="CG52" s="823">
        <f t="shared" si="125"/>
        <v>0</v>
      </c>
      <c r="CH52" s="48"/>
      <c r="CI52" s="48"/>
      <c r="CJ52" s="48"/>
      <c r="CL52" s="48">
        <v>2.8380000000000001</v>
      </c>
      <c r="CM52" s="48"/>
      <c r="CN52" s="48"/>
      <c r="CO52" s="349">
        <f t="shared" si="126"/>
        <v>2.8380000000000001</v>
      </c>
      <c r="CP52" s="48">
        <v>0</v>
      </c>
      <c r="CQ52" s="48"/>
      <c r="CR52" s="48"/>
      <c r="CS52" s="918">
        <f t="shared" si="127"/>
        <v>0</v>
      </c>
      <c r="CT52" s="832" t="e">
        <f t="array" aca="1" ref="CT52" ca="1">_xll.BDP($BD$1,"bs invest in assoc co","eqy fund relative period","-0fs","eqy consolidated="&amp;$CS$3,"eqy fund crncy="&amp;$BJ$4,"scaling format",$BI$8)</f>
        <v>#NAME?</v>
      </c>
      <c r="CU52" s="871">
        <v>0.39400000000000002</v>
      </c>
      <c r="CV52" s="919">
        <v>0.39400000000000002</v>
      </c>
      <c r="CW52" s="919">
        <v>0.27300000000000002</v>
      </c>
      <c r="CX52" s="919">
        <v>0.27300000000000002</v>
      </c>
      <c r="CY52" s="920">
        <f t="shared" si="128"/>
        <v>0.39400000000000002</v>
      </c>
      <c r="CZ52" s="526">
        <f t="shared" si="129"/>
        <v>0.11220308188261963</v>
      </c>
      <c r="DA52" s="871"/>
      <c r="DB52" s="919"/>
      <c r="DC52" s="919"/>
      <c r="DD52" s="919">
        <v>5.0750000000000002</v>
      </c>
      <c r="DE52" s="919">
        <v>10.324999999999999</v>
      </c>
      <c r="DF52" s="919" t="str">
        <f t="shared" si="130"/>
        <v/>
      </c>
      <c r="DG52" s="921">
        <f t="shared" si="131"/>
        <v>5.2499999999999991</v>
      </c>
      <c r="DH52" s="721">
        <f t="shared" si="132"/>
        <v>1.4950918271161242E-2</v>
      </c>
      <c r="DI52" s="871">
        <v>78.6571</v>
      </c>
      <c r="DJ52" s="919">
        <f t="shared" si="133"/>
        <v>67.788799999999995</v>
      </c>
      <c r="DK52" s="922">
        <f t="shared" si="134"/>
        <v>78.6571</v>
      </c>
      <c r="DL52" s="380">
        <v>0.625</v>
      </c>
      <c r="DM52" s="3">
        <v>0.69499999999999995</v>
      </c>
      <c r="DN52" s="411">
        <f t="shared" si="135"/>
        <v>0.625</v>
      </c>
      <c r="DO52" s="923">
        <f t="shared" si="136"/>
        <v>1.8728597642275346</v>
      </c>
      <c r="DP52" s="924">
        <f t="shared" si="137"/>
        <v>22.1497975708502</v>
      </c>
      <c r="DQ52" s="925">
        <f t="shared" si="138"/>
        <v>2.4740029572015962</v>
      </c>
      <c r="DR52" s="327"/>
      <c r="DS52" s="8"/>
      <c r="DT52" s="10">
        <f t="shared" si="139"/>
        <v>0</v>
      </c>
      <c r="DU52" s="926">
        <f t="shared" si="140"/>
        <v>0</v>
      </c>
      <c r="DV52" s="927" t="e">
        <f t="array" aca="1" ref="DV52" ca="1">_xll.BDP($BD$1,"tot oper lea rt of use assets","eqy fund relative period","-0fs","eqy consolidated="&amp;$CS$3,"eqy fund crncy="&amp;$BJ$4,"scaling format",$BI$8)</f>
        <v>#NAME?</v>
      </c>
      <c r="DX52" t="s">
        <v>984</v>
      </c>
      <c r="DY52" s="2" t="s">
        <v>985</v>
      </c>
      <c r="DZ52" s="695">
        <v>0.15</v>
      </c>
    </row>
    <row r="53" spans="1:130" ht="16" customHeight="1">
      <c r="A53" s="831">
        <f t="shared" si="86"/>
        <v>40908</v>
      </c>
      <c r="B53" s="74">
        <v>87.483999999999995</v>
      </c>
      <c r="C53" s="687">
        <v>0</v>
      </c>
      <c r="D53" s="687">
        <v>66.867000000000004</v>
      </c>
      <c r="E53" s="687">
        <v>73.347999999999999</v>
      </c>
      <c r="F53" s="687">
        <f t="shared" si="141"/>
        <v>8.9520000000000266</v>
      </c>
      <c r="G53" s="687">
        <f t="shared" si="87"/>
        <v>0</v>
      </c>
      <c r="H53" s="687">
        <v>26.506</v>
      </c>
      <c r="I53" s="687">
        <v>0</v>
      </c>
      <c r="J53" s="687">
        <f t="shared" si="88"/>
        <v>0</v>
      </c>
      <c r="K53" s="687">
        <v>44.061999999999998</v>
      </c>
      <c r="L53" s="687">
        <v>27.818000000000001</v>
      </c>
      <c r="M53" s="687">
        <f t="shared" si="89"/>
        <v>13.878</v>
      </c>
      <c r="N53" s="687">
        <v>348.91500000000002</v>
      </c>
      <c r="O53" s="687">
        <f t="shared" si="90"/>
        <v>261.43100000000004</v>
      </c>
      <c r="P53" s="687">
        <f t="shared" si="142"/>
        <v>277.03500000000003</v>
      </c>
      <c r="Q53" s="687">
        <f t="shared" si="91"/>
        <v>189.55100000000004</v>
      </c>
      <c r="R53" s="687">
        <f t="shared" si="92"/>
        <v>158.96700000000001</v>
      </c>
      <c r="S53" s="687">
        <f t="shared" si="143"/>
        <v>-4.7579999999999671</v>
      </c>
      <c r="T53" s="132">
        <v>21.376999999999999</v>
      </c>
      <c r="U53" s="687">
        <f t="shared" si="93"/>
        <v>32.221999999999994</v>
      </c>
      <c r="V53" s="687">
        <f t="shared" si="94"/>
        <v>24.085000000000001</v>
      </c>
      <c r="W53" s="687">
        <f t="shared" si="95"/>
        <v>0</v>
      </c>
      <c r="X53" s="687">
        <f t="shared" si="96"/>
        <v>0.69499999999999995</v>
      </c>
      <c r="Y53" s="687">
        <f t="shared" si="97"/>
        <v>0</v>
      </c>
      <c r="Z53" s="687">
        <f t="shared" si="98"/>
        <v>13.679</v>
      </c>
      <c r="AA53" s="687">
        <f t="shared" si="99"/>
        <v>-56.117999999999995</v>
      </c>
      <c r="AB53" s="687">
        <v>11.992000000000001</v>
      </c>
      <c r="AC53" s="687">
        <v>256.85700000000003</v>
      </c>
      <c r="AD53" s="687">
        <f t="shared" si="100"/>
        <v>1.0220000000000198</v>
      </c>
      <c r="AE53" s="687">
        <v>255.83500000000001</v>
      </c>
      <c r="AF53" s="687">
        <f t="shared" si="101"/>
        <v>183.95500000000001</v>
      </c>
      <c r="AG53" s="811" t="str">
        <f t="shared" ca="1" si="102"/>
        <v/>
      </c>
      <c r="AH53" s="805" t="str">
        <f t="shared" si="103"/>
        <v/>
      </c>
      <c r="AI53" s="912" t="str">
        <f t="shared" ca="1" si="104"/>
        <v/>
      </c>
      <c r="AJ53" s="815">
        <f t="shared" si="105"/>
        <v>1.3638282486759044</v>
      </c>
      <c r="AK53" s="75">
        <f t="shared" si="106"/>
        <v>-1.2309278350515462</v>
      </c>
      <c r="AL53" s="805">
        <v>9.6473999999999993</v>
      </c>
      <c r="AM53" s="811">
        <f t="shared" si="107"/>
        <v>31.102981029810294</v>
      </c>
      <c r="AN53" s="913">
        <f t="shared" si="108"/>
        <v>-21.935231692301677</v>
      </c>
      <c r="AO53" s="74">
        <f t="shared" si="109"/>
        <v>136.4471377313871</v>
      </c>
      <c r="AP53" s="687">
        <f t="shared" si="110"/>
        <v>74.65414297381372</v>
      </c>
      <c r="AQ53" s="687">
        <f t="shared" si="111"/>
        <v>39.767007461469461</v>
      </c>
      <c r="AR53" s="767">
        <f t="shared" si="112"/>
        <v>171.33427324373136</v>
      </c>
      <c r="AS53" s="928">
        <v>1.2698</v>
      </c>
      <c r="AU53" s="327">
        <v>71.88</v>
      </c>
      <c r="AV53" s="915">
        <f t="shared" si="113"/>
        <v>-30.506373841428609</v>
      </c>
      <c r="AW53" s="515">
        <f t="shared" si="114"/>
        <v>48.624616504601946</v>
      </c>
      <c r="AX53" s="915">
        <f t="shared" si="115"/>
        <v>68.800175477078298</v>
      </c>
      <c r="AY53" s="916">
        <v>14.374000000000001</v>
      </c>
      <c r="AZ53" s="917" t="str">
        <f t="shared" ca="1" si="116"/>
        <v/>
      </c>
      <c r="BC53" s="33">
        <v>6.5860000000000003</v>
      </c>
      <c r="BD53" s="327">
        <f t="shared" si="117"/>
        <v>71.483000000000033</v>
      </c>
      <c r="BE53" s="8">
        <f t="shared" si="118"/>
        <v>149.16700000000003</v>
      </c>
      <c r="BF53" s="8">
        <v>236.65100000000001</v>
      </c>
      <c r="BG53" s="8">
        <v>85.757999999999996</v>
      </c>
      <c r="BH53" s="328">
        <v>77.683999999999997</v>
      </c>
      <c r="BI53" s="327">
        <v>24.085000000000001</v>
      </c>
      <c r="BJ53" s="8"/>
      <c r="BK53" s="8">
        <f t="shared" si="119"/>
        <v>24.085000000000001</v>
      </c>
      <c r="BL53" s="8">
        <v>0.69499999999999995</v>
      </c>
      <c r="BM53" s="8"/>
      <c r="BN53" s="328">
        <f t="shared" si="120"/>
        <v>0.69499999999999995</v>
      </c>
      <c r="BO53" s="327">
        <v>7.9240000000000004</v>
      </c>
      <c r="BP53" s="8">
        <v>2.1160000000000001</v>
      </c>
      <c r="BQ53" s="8">
        <f t="shared" si="121"/>
        <v>5.8079999999999998</v>
      </c>
      <c r="BR53" s="328">
        <f t="shared" si="122"/>
        <v>73.296314992428051</v>
      </c>
      <c r="BS53" s="338"/>
      <c r="BX53" s="765"/>
      <c r="BY53" s="33">
        <f t="shared" si="123"/>
        <v>4.4872544498248619</v>
      </c>
      <c r="BZ53" s="820"/>
      <c r="CA53" s="821"/>
      <c r="CB53" s="821"/>
      <c r="CC53" s="823" t="str">
        <f t="shared" si="124"/>
        <v/>
      </c>
      <c r="CD53" s="821">
        <v>0</v>
      </c>
      <c r="CE53" s="821"/>
      <c r="CF53" s="821"/>
      <c r="CG53" s="823">
        <f t="shared" si="125"/>
        <v>0</v>
      </c>
      <c r="CH53" s="48"/>
      <c r="CI53" s="48"/>
      <c r="CJ53" s="48"/>
      <c r="CK53" s="48"/>
      <c r="CL53" s="48">
        <v>3.7970000000000002</v>
      </c>
      <c r="CM53" s="48"/>
      <c r="CN53" s="48"/>
      <c r="CO53" s="349">
        <f t="shared" si="126"/>
        <v>3.7970000000000002</v>
      </c>
      <c r="CP53" s="48">
        <v>0</v>
      </c>
      <c r="CQ53" s="48"/>
      <c r="CR53" s="48"/>
      <c r="CS53" s="918">
        <f t="shared" si="127"/>
        <v>0</v>
      </c>
      <c r="CT53" s="832" t="str">
        <f ca="1">IF(ISNUMBER(CT51),CT51,IF(ISNUMBER(CT52),CT52,""))</f>
        <v/>
      </c>
      <c r="CU53" s="871">
        <v>3.387</v>
      </c>
      <c r="CV53" s="919">
        <v>3.387</v>
      </c>
      <c r="CW53" s="919">
        <v>3.387</v>
      </c>
      <c r="CX53" s="919">
        <v>3.387</v>
      </c>
      <c r="CY53" s="920">
        <f t="shared" si="128"/>
        <v>3.387</v>
      </c>
      <c r="CZ53" s="526">
        <f t="shared" si="129"/>
        <v>1.0360110972785974</v>
      </c>
      <c r="DA53" s="871"/>
      <c r="DB53" s="919"/>
      <c r="DC53" s="919"/>
      <c r="DD53" s="919">
        <v>4.7210000000000001</v>
      </c>
      <c r="DE53" s="919">
        <v>11.159000000000001</v>
      </c>
      <c r="DF53" s="919" t="str">
        <f t="shared" si="130"/>
        <v/>
      </c>
      <c r="DG53" s="921">
        <f t="shared" si="131"/>
        <v>6.4380000000000006</v>
      </c>
      <c r="DH53" s="721">
        <f t="shared" si="132"/>
        <v>1.9692469572718068E-2</v>
      </c>
      <c r="DI53" s="871">
        <v>72.856800000000007</v>
      </c>
      <c r="DJ53" s="919">
        <f t="shared" si="133"/>
        <v>72.090900000000005</v>
      </c>
      <c r="DK53" s="922">
        <f t="shared" si="134"/>
        <v>72.856800000000007</v>
      </c>
      <c r="DL53" s="380">
        <v>0.36499999999999999</v>
      </c>
      <c r="DM53" s="3">
        <v>0.36499999999999999</v>
      </c>
      <c r="DN53" s="411">
        <f t="shared" si="135"/>
        <v>0.36499999999999999</v>
      </c>
      <c r="DO53" s="923">
        <f t="shared" si="136"/>
        <v>1.5059933135821262</v>
      </c>
      <c r="DP53" s="924">
        <f t="shared" si="137"/>
        <v>41.183378500451674</v>
      </c>
      <c r="DQ53" s="925">
        <f t="shared" si="138"/>
        <v>3.0463287163379849</v>
      </c>
      <c r="DR53" s="327"/>
      <c r="DS53" s="8"/>
      <c r="DT53" s="10">
        <f t="shared" si="139"/>
        <v>0</v>
      </c>
      <c r="DU53" s="926">
        <f t="shared" si="140"/>
        <v>0</v>
      </c>
      <c r="DV53" s="927" t="str">
        <f ca="1">IF(ISNUMBER(DV51),DV51,IF(ISNUMBER(DV52),DV52,""))</f>
        <v/>
      </c>
      <c r="DX53" t="s">
        <v>986</v>
      </c>
      <c r="DY53" s="2" t="s">
        <v>456</v>
      </c>
      <c r="DZ53" s="695">
        <v>0.2</v>
      </c>
    </row>
    <row r="54" spans="1:130" ht="16" customHeight="1">
      <c r="A54" s="831">
        <f t="shared" si="86"/>
        <v>41274</v>
      </c>
      <c r="B54" s="74">
        <v>106.358</v>
      </c>
      <c r="C54" s="687">
        <v>0</v>
      </c>
      <c r="D54" s="687">
        <v>58.795999999999999</v>
      </c>
      <c r="E54" s="687">
        <v>69.403000000000006</v>
      </c>
      <c r="F54" s="687">
        <f t="shared" si="141"/>
        <v>8.2509999999999906</v>
      </c>
      <c r="G54" s="687">
        <f t="shared" si="87"/>
        <v>0</v>
      </c>
      <c r="H54" s="687">
        <v>26.061</v>
      </c>
      <c r="I54" s="687">
        <v>0</v>
      </c>
      <c r="J54" s="687">
        <f t="shared" si="88"/>
        <v>0</v>
      </c>
      <c r="K54" s="687">
        <v>43.853999999999999</v>
      </c>
      <c r="L54" s="687">
        <v>32.857999999999997</v>
      </c>
      <c r="M54" s="687">
        <f t="shared" si="89"/>
        <v>17.820999999999998</v>
      </c>
      <c r="N54" s="687">
        <v>363.40199999999999</v>
      </c>
      <c r="O54" s="687">
        <f t="shared" si="90"/>
        <v>257.04399999999998</v>
      </c>
      <c r="P54" s="687">
        <f t="shared" si="142"/>
        <v>286.69</v>
      </c>
      <c r="Q54" s="687">
        <f t="shared" si="91"/>
        <v>180.33199999999999</v>
      </c>
      <c r="R54" s="687">
        <f t="shared" si="92"/>
        <v>159.81399999999999</v>
      </c>
      <c r="S54" s="687">
        <f t="shared" si="143"/>
        <v>-18.027000000000044</v>
      </c>
      <c r="T54" s="132">
        <v>24.01</v>
      </c>
      <c r="U54" s="687">
        <f t="shared" si="93"/>
        <v>34.055999999999997</v>
      </c>
      <c r="V54" s="687">
        <f t="shared" si="94"/>
        <v>24.928000000000001</v>
      </c>
      <c r="W54" s="687">
        <f t="shared" si="95"/>
        <v>0</v>
      </c>
      <c r="X54" s="687">
        <f t="shared" si="96"/>
        <v>1.9259999999999999</v>
      </c>
      <c r="Y54" s="687">
        <f t="shared" si="97"/>
        <v>0</v>
      </c>
      <c r="Z54" s="687">
        <f t="shared" si="98"/>
        <v>13.531000000000001</v>
      </c>
      <c r="AA54" s="687">
        <f t="shared" si="99"/>
        <v>-70.501000000000005</v>
      </c>
      <c r="AB54" s="687">
        <v>22.486000000000001</v>
      </c>
      <c r="AC54" s="687">
        <v>264.95100000000002</v>
      </c>
      <c r="AD54" s="687">
        <f t="shared" si="100"/>
        <v>1.1570000000000391</v>
      </c>
      <c r="AE54" s="687">
        <v>263.79399999999998</v>
      </c>
      <c r="AF54" s="687">
        <f t="shared" si="101"/>
        <v>187.08199999999999</v>
      </c>
      <c r="AG54" s="811" t="str">
        <f t="shared" ca="1" si="102"/>
        <v/>
      </c>
      <c r="AH54" s="805" t="str">
        <f t="shared" si="103"/>
        <v/>
      </c>
      <c r="AI54" s="912" t="str">
        <f t="shared" ca="1" si="104"/>
        <v/>
      </c>
      <c r="AJ54" s="815">
        <f t="shared" si="105"/>
        <v>1.3775976709098767</v>
      </c>
      <c r="AK54" s="75">
        <f t="shared" si="106"/>
        <v>-2.1763598197197016</v>
      </c>
      <c r="AL54" s="805">
        <v>10.1355</v>
      </c>
      <c r="AM54" s="811">
        <f t="shared" si="107"/>
        <v>22.700109051254088</v>
      </c>
      <c r="AN54" s="913">
        <f t="shared" si="108"/>
        <v>-26.72577844833469</v>
      </c>
      <c r="AO54" s="74">
        <f t="shared" si="109"/>
        <v>153.51761397725002</v>
      </c>
      <c r="AP54" s="687">
        <f t="shared" si="110"/>
        <v>78.403258804617849</v>
      </c>
      <c r="AQ54" s="687">
        <f t="shared" si="111"/>
        <v>53.109489670385614</v>
      </c>
      <c r="AR54" s="767">
        <f t="shared" si="112"/>
        <v>178.81138311148226</v>
      </c>
      <c r="AS54" s="928">
        <v>1.2839</v>
      </c>
      <c r="AU54" s="327">
        <v>76.712000000000003</v>
      </c>
      <c r="AV54" s="915">
        <f t="shared" si="113"/>
        <v>-37.684544745085049</v>
      </c>
      <c r="AW54" s="515">
        <f t="shared" si="114"/>
        <v>58.385941838374976</v>
      </c>
      <c r="AX54" s="915">
        <f t="shared" si="115"/>
        <v>110.69025128110144</v>
      </c>
      <c r="AY54" s="916">
        <v>15.457000000000001</v>
      </c>
      <c r="AZ54" s="917" t="str">
        <f t="shared" ca="1" si="116"/>
        <v/>
      </c>
      <c r="BC54" s="33">
        <v>9.0030000000000001</v>
      </c>
      <c r="BD54" s="327">
        <f t="shared" si="117"/>
        <v>53.455999999999989</v>
      </c>
      <c r="BE54" s="8">
        <f t="shared" si="118"/>
        <v>136.44999999999999</v>
      </c>
      <c r="BF54" s="8">
        <v>242.80799999999999</v>
      </c>
      <c r="BG54" s="8">
        <v>94.533000000000001</v>
      </c>
      <c r="BH54" s="328">
        <v>82.994</v>
      </c>
      <c r="BI54" s="327">
        <v>24.928000000000001</v>
      </c>
      <c r="BJ54" s="8"/>
      <c r="BK54" s="8">
        <f t="shared" si="119"/>
        <v>24.928000000000001</v>
      </c>
      <c r="BL54" s="8">
        <v>1.9259999999999999</v>
      </c>
      <c r="BM54" s="8"/>
      <c r="BN54" s="328">
        <f t="shared" si="120"/>
        <v>1.9259999999999999</v>
      </c>
      <c r="BO54" s="327">
        <v>3.726</v>
      </c>
      <c r="BP54" s="8">
        <v>3.8570000000000002</v>
      </c>
      <c r="BQ54" s="8">
        <f t="shared" si="121"/>
        <v>-0.13100000000000023</v>
      </c>
      <c r="BR54" s="328">
        <f t="shared" si="122"/>
        <v>-3.515834675254971</v>
      </c>
      <c r="BS54" s="339" t="s">
        <v>862</v>
      </c>
      <c r="BT54" s="2" t="s">
        <v>868</v>
      </c>
      <c r="BU54" s="2" t="s">
        <v>873</v>
      </c>
      <c r="BV54" s="2" t="s">
        <v>885</v>
      </c>
      <c r="BW54" s="2" t="s">
        <v>902</v>
      </c>
      <c r="BX54" s="340" t="s">
        <v>987</v>
      </c>
      <c r="BY54" s="33">
        <f t="shared" si="123"/>
        <v>3.6411912756141822</v>
      </c>
      <c r="BZ54" s="820"/>
      <c r="CA54" s="821"/>
      <c r="CB54" s="821"/>
      <c r="CC54" s="823" t="str">
        <f t="shared" si="124"/>
        <v/>
      </c>
      <c r="CD54" s="821">
        <v>0</v>
      </c>
      <c r="CE54" s="821"/>
      <c r="CF54" s="821"/>
      <c r="CG54" s="823">
        <f t="shared" si="125"/>
        <v>0</v>
      </c>
      <c r="CH54" s="48"/>
      <c r="CI54" s="48"/>
      <c r="CJ54" s="48"/>
      <c r="CK54" s="48"/>
      <c r="CL54" s="48">
        <v>2.4359999999999999</v>
      </c>
      <c r="CM54" s="48"/>
      <c r="CN54" s="48"/>
      <c r="CO54" s="349">
        <f t="shared" si="126"/>
        <v>2.4359999999999999</v>
      </c>
      <c r="CP54" s="48">
        <v>0</v>
      </c>
      <c r="CQ54" s="48"/>
      <c r="CR54" s="48"/>
      <c r="CS54" s="918">
        <f t="shared" si="127"/>
        <v>0</v>
      </c>
      <c r="CT54" s="832"/>
      <c r="CU54" s="871">
        <v>1.4830000000000001</v>
      </c>
      <c r="CV54" s="919">
        <v>1.4830000000000001</v>
      </c>
      <c r="CW54" s="919">
        <v>0.183</v>
      </c>
      <c r="CX54" s="919">
        <v>0.183</v>
      </c>
      <c r="CY54" s="920">
        <f t="shared" si="128"/>
        <v>1.4830000000000001</v>
      </c>
      <c r="CZ54" s="526">
        <f t="shared" si="129"/>
        <v>0.54179453456086502</v>
      </c>
      <c r="DA54" s="871"/>
      <c r="DB54" s="919"/>
      <c r="DC54" s="919"/>
      <c r="DD54" s="919">
        <v>4.101</v>
      </c>
      <c r="DE54" s="919">
        <v>11.577999999999999</v>
      </c>
      <c r="DF54" s="919" t="str">
        <f t="shared" si="130"/>
        <v/>
      </c>
      <c r="DG54" s="921">
        <f t="shared" si="131"/>
        <v>7.4769999999999994</v>
      </c>
      <c r="DH54" s="721">
        <f t="shared" si="132"/>
        <v>2.7316235569194793E-2</v>
      </c>
      <c r="DI54" s="871">
        <v>75.173199999999994</v>
      </c>
      <c r="DJ54" s="919">
        <f t="shared" si="133"/>
        <v>74.765299999999996</v>
      </c>
      <c r="DK54" s="922">
        <f t="shared" si="134"/>
        <v>75.173199999999994</v>
      </c>
      <c r="DL54" s="380">
        <v>0.21</v>
      </c>
      <c r="DM54" s="3">
        <v>0.21</v>
      </c>
      <c r="DN54" s="411">
        <f t="shared" si="135"/>
        <v>0.21</v>
      </c>
      <c r="DO54" s="923">
        <f t="shared" si="136"/>
        <v>1.5324296297880073</v>
      </c>
      <c r="DP54" s="924">
        <f t="shared" si="137"/>
        <v>35.326063249727369</v>
      </c>
      <c r="DQ54" s="925">
        <f t="shared" si="138"/>
        <v>2.9256090801744703</v>
      </c>
      <c r="DR54" s="327"/>
      <c r="DS54" s="8"/>
      <c r="DT54" s="10">
        <f t="shared" si="139"/>
        <v>0</v>
      </c>
      <c r="DU54" s="926">
        <f t="shared" si="140"/>
        <v>0</v>
      </c>
      <c r="DV54" s="927"/>
      <c r="DX54" t="s">
        <v>988</v>
      </c>
      <c r="DY54" s="2" t="s">
        <v>989</v>
      </c>
      <c r="DZ54" s="695">
        <v>0.15</v>
      </c>
    </row>
    <row r="55" spans="1:130" ht="16" customHeight="1">
      <c r="A55" s="831">
        <f t="shared" si="86"/>
        <v>41639</v>
      </c>
      <c r="B55" s="74">
        <v>89.585999999999999</v>
      </c>
      <c r="C55" s="687">
        <v>0</v>
      </c>
      <c r="D55" s="687">
        <v>53.902999999999999</v>
      </c>
      <c r="E55" s="687">
        <v>65.167000000000002</v>
      </c>
      <c r="F55" s="687">
        <f t="shared" si="141"/>
        <v>10.350000000000023</v>
      </c>
      <c r="G55" s="687">
        <f t="shared" si="87"/>
        <v>0</v>
      </c>
      <c r="H55" s="687">
        <v>24.649000000000001</v>
      </c>
      <c r="I55" s="687">
        <v>0</v>
      </c>
      <c r="J55" s="687">
        <f t="shared" si="88"/>
        <v>0</v>
      </c>
      <c r="K55" s="687">
        <v>43.540999999999997</v>
      </c>
      <c r="L55" s="687">
        <v>35.594000000000001</v>
      </c>
      <c r="M55" s="687">
        <f t="shared" si="89"/>
        <v>17.920000000000002</v>
      </c>
      <c r="N55" s="687">
        <v>340.71</v>
      </c>
      <c r="O55" s="687">
        <f t="shared" si="90"/>
        <v>251.12399999999997</v>
      </c>
      <c r="P55" s="687">
        <f t="shared" si="142"/>
        <v>261.57499999999999</v>
      </c>
      <c r="Q55" s="687">
        <f t="shared" si="91"/>
        <v>171.98899999999998</v>
      </c>
      <c r="R55" s="687">
        <f t="shared" si="92"/>
        <v>159.21899999999999</v>
      </c>
      <c r="S55" s="687">
        <f t="shared" si="143"/>
        <v>16.177000000000021</v>
      </c>
      <c r="T55" s="132">
        <v>21.056000000000001</v>
      </c>
      <c r="U55" s="687">
        <f t="shared" si="93"/>
        <v>23.157</v>
      </c>
      <c r="V55" s="687">
        <f t="shared" si="94"/>
        <v>15.574</v>
      </c>
      <c r="W55" s="687">
        <f t="shared" si="95"/>
        <v>0</v>
      </c>
      <c r="X55" s="687">
        <f t="shared" si="96"/>
        <v>3.0590000000000002</v>
      </c>
      <c r="Y55" s="687">
        <f t="shared" si="97"/>
        <v>0</v>
      </c>
      <c r="Z55" s="687">
        <f t="shared" si="98"/>
        <v>13.706</v>
      </c>
      <c r="AA55" s="687">
        <f t="shared" si="99"/>
        <v>-62.835999999999999</v>
      </c>
      <c r="AB55" s="687">
        <v>27.332999999999998</v>
      </c>
      <c r="AC55" s="687">
        <v>264.15800000000002</v>
      </c>
      <c r="AD55" s="687">
        <f t="shared" si="100"/>
        <v>1.1930000000000405</v>
      </c>
      <c r="AE55" s="687">
        <v>262.96499999999997</v>
      </c>
      <c r="AF55" s="687">
        <f t="shared" si="101"/>
        <v>183.82999999999998</v>
      </c>
      <c r="AG55" s="811" t="str">
        <f t="shared" ca="1" si="102"/>
        <v/>
      </c>
      <c r="AH55" s="805" t="str">
        <f t="shared" si="103"/>
        <v/>
      </c>
      <c r="AI55" s="912" t="str">
        <f t="shared" ca="1" si="104"/>
        <v/>
      </c>
      <c r="AJ55" s="815">
        <f t="shared" si="105"/>
        <v>1.2956477097712624</v>
      </c>
      <c r="AK55" s="75">
        <f t="shared" si="106"/>
        <v>-2.2487206098128332</v>
      </c>
      <c r="AL55" s="805">
        <v>7.0537000000000001</v>
      </c>
      <c r="AM55" s="811">
        <f t="shared" si="107"/>
        <v>35.449248120300751</v>
      </c>
      <c r="AN55" s="913">
        <f t="shared" si="108"/>
        <v>-23.895195178065524</v>
      </c>
      <c r="AO55" s="74">
        <f t="shared" si="109"/>
        <v>155.05231216510438</v>
      </c>
      <c r="AP55" s="687">
        <f t="shared" si="110"/>
        <v>77.17464383217748</v>
      </c>
      <c r="AQ55" s="687">
        <f t="shared" si="111"/>
        <v>50.098692358838633</v>
      </c>
      <c r="AR55" s="767">
        <f t="shared" si="112"/>
        <v>182.12826363844323</v>
      </c>
      <c r="AS55" s="928">
        <v>1.3694</v>
      </c>
      <c r="AU55" s="327">
        <v>79.135000000000005</v>
      </c>
      <c r="AV55" s="915">
        <f t="shared" si="113"/>
        <v>-34.181580808355548</v>
      </c>
      <c r="AW55" s="515">
        <f t="shared" si="114"/>
        <v>62.454498383908117</v>
      </c>
      <c r="AX55" s="915">
        <f t="shared" si="115"/>
        <v>95.730594424363886</v>
      </c>
      <c r="AY55" s="916">
        <v>16.765000000000001</v>
      </c>
      <c r="AZ55" s="917" t="str">
        <f t="shared" ca="1" si="116"/>
        <v/>
      </c>
      <c r="BC55" s="33">
        <v>8.1170000000000009</v>
      </c>
      <c r="BD55" s="327">
        <f t="shared" si="117"/>
        <v>69.63300000000001</v>
      </c>
      <c r="BE55" s="8">
        <f t="shared" si="118"/>
        <v>129.42000000000002</v>
      </c>
      <c r="BF55" s="8">
        <v>219.006</v>
      </c>
      <c r="BG55" s="8">
        <v>97.055000000000007</v>
      </c>
      <c r="BH55" s="328">
        <v>59.786999999999999</v>
      </c>
      <c r="BI55" s="327">
        <v>15.574</v>
      </c>
      <c r="BJ55" s="8"/>
      <c r="BK55" s="8">
        <f t="shared" si="119"/>
        <v>15.574</v>
      </c>
      <c r="BL55" s="8">
        <v>3.0590000000000002</v>
      </c>
      <c r="BM55" s="8"/>
      <c r="BN55" s="328">
        <f t="shared" si="120"/>
        <v>3.0590000000000002</v>
      </c>
      <c r="BO55" s="327">
        <v>3.0249999999999999</v>
      </c>
      <c r="BP55" s="8">
        <v>9.0410000000000004</v>
      </c>
      <c r="BQ55" s="8">
        <f t="shared" si="121"/>
        <v>-6.016</v>
      </c>
      <c r="BR55" s="328">
        <f t="shared" si="122"/>
        <v>-198.87603305785123</v>
      </c>
      <c r="BS55" s="327" t="e">
        <f t="array" aca="1" ref="BS55" ca="1">_xll.BDP($BD$1,"bs mkt sec other st invest","eqy fund relative period","-0fq","eqy consolidated="&amp;$CS$3,"eqy fund crncy="&amp;$BJ$4,"scaling format",$BI$8)</f>
        <v>#NAME?</v>
      </c>
      <c r="BT55" s="8" t="e">
        <f t="array" aca="1" ref="BT55" ca="1">_xll.BDP($BD$1,"bs lt invest","eqy fund relative period","-0fq","eqy consolidated="&amp;$CS$3,"eqy fund crncy="&amp;$BJ$4,"scaling format",$BI$8)</f>
        <v>#NAME?</v>
      </c>
      <c r="BU55" s="8" t="e">
        <f t="array" aca="1" ref="BU55" ca="1">_xll.BDP($BD$1,"bs tot asset","eqy fund relative period","-0fq","eqy consolidated="&amp;$CS$3,"eqy fund crncy="&amp;$BJ$4,"scaling format",$BI$8)</f>
        <v>#NAME?</v>
      </c>
      <c r="BV55" s="8" t="e">
        <f t="array" aca="1" ref="BV55" ca="1">_xll.BDP($BD$1,"bs pure retained earnings","eqy fund relative period","-0fq","eqy consolidated="&amp;$CS$3,"eqy fund crncy="&amp;$BJ$4,"scaling format",$BI$8)</f>
        <v>#NAME?</v>
      </c>
      <c r="BW55" s="8" t="e">
        <f t="array" aca="1" ref="BW55" ca="1">_xll.BDP($BD$1,"bs cur asset report","eqy fund relative period","-0fq","eqy consolidated="&amp;$CS$3,"eqy fund crncy="&amp;$BJ$4,"scaling format",$BI$8)</f>
        <v>#NAME?</v>
      </c>
      <c r="BX55" s="328" t="e">
        <f t="array" aca="1" ref="BX55" ca="1">_xll.BDP($BD$1,"non cur liab","eqy fund relative period","-0fq","eqy consolidated="&amp;$CS$3,"eqy fund crncy="&amp;$BJ$4,"scaling format",$BI$8)</f>
        <v>#NAME?</v>
      </c>
      <c r="BY55" s="33">
        <f t="shared" si="123"/>
        <v>3.3945888653501233</v>
      </c>
      <c r="BZ55" s="820"/>
      <c r="CA55" s="821"/>
      <c r="CB55" s="821"/>
      <c r="CC55" s="823" t="str">
        <f t="shared" si="124"/>
        <v/>
      </c>
      <c r="CD55" s="821">
        <v>0</v>
      </c>
      <c r="CE55" s="821"/>
      <c r="CF55" s="821"/>
      <c r="CG55" s="823">
        <f t="shared" si="125"/>
        <v>0</v>
      </c>
      <c r="CH55" s="48"/>
      <c r="CI55" s="48"/>
      <c r="CJ55" s="48"/>
      <c r="CK55" s="48"/>
      <c r="CL55" s="48">
        <v>0.91</v>
      </c>
      <c r="CM55" s="48"/>
      <c r="CN55" s="48"/>
      <c r="CO55" s="349">
        <f t="shared" si="126"/>
        <v>0.91</v>
      </c>
      <c r="CP55" s="48">
        <v>0</v>
      </c>
      <c r="CQ55" s="48"/>
      <c r="CR55" s="48"/>
      <c r="CS55" s="918">
        <f t="shared" si="127"/>
        <v>0</v>
      </c>
      <c r="CT55" s="832" t="e">
        <f t="array" aca="1" ref="CT55" ca="1">_xll.BDP($BD$1,"ard investment in affiliate jv","eqy fund relative period","-0fq","eqy consolidated="&amp;$CS$3,"eqy fund crncy="&amp;$BJ$4,"scaling format",$BI$8)</f>
        <v>#NAME?</v>
      </c>
      <c r="CU55" s="871">
        <v>1.173</v>
      </c>
      <c r="CV55" s="919">
        <v>1.173</v>
      </c>
      <c r="CW55" s="919">
        <v>1.173</v>
      </c>
      <c r="CX55" s="919"/>
      <c r="CY55" s="920">
        <f t="shared" si="128"/>
        <v>1.173</v>
      </c>
      <c r="CZ55" s="526">
        <f t="shared" si="129"/>
        <v>0.46011547996359875</v>
      </c>
      <c r="DA55" s="871"/>
      <c r="DB55" s="919"/>
      <c r="DC55" s="919"/>
      <c r="DD55" s="919">
        <v>4.0339999999999998</v>
      </c>
      <c r="DE55" s="919">
        <v>9.0839999999999996</v>
      </c>
      <c r="DF55" s="919" t="str">
        <f t="shared" si="130"/>
        <v/>
      </c>
      <c r="DG55" s="921">
        <f t="shared" si="131"/>
        <v>5.05</v>
      </c>
      <c r="DH55" s="721">
        <f t="shared" si="132"/>
        <v>1.9808893212414094E-2</v>
      </c>
      <c r="DI55" s="871">
        <v>75.100700000000003</v>
      </c>
      <c r="DJ55" s="919">
        <f t="shared" si="133"/>
        <v>74.686700000000002</v>
      </c>
      <c r="DK55" s="922">
        <f t="shared" si="134"/>
        <v>75.100700000000003</v>
      </c>
      <c r="DL55" s="380">
        <v>0.215</v>
      </c>
      <c r="DM55" s="3">
        <v>0.215</v>
      </c>
      <c r="DN55" s="411">
        <f t="shared" si="135"/>
        <v>0.215</v>
      </c>
      <c r="DO55" s="923">
        <f t="shared" si="136"/>
        <v>1.4229179132894523</v>
      </c>
      <c r="DP55" s="924">
        <f t="shared" si="137"/>
        <v>52.524436090225564</v>
      </c>
      <c r="DQ55" s="925">
        <f t="shared" si="138"/>
        <v>3.663104019268403</v>
      </c>
      <c r="DR55" s="327"/>
      <c r="DS55" s="8"/>
      <c r="DT55" s="10">
        <f t="shared" si="139"/>
        <v>0</v>
      </c>
      <c r="DU55" s="926">
        <f t="shared" si="140"/>
        <v>0</v>
      </c>
      <c r="DV55" s="927" t="e">
        <f t="array" aca="1" ref="DV55" ca="1">_xll.BDP($BD$1,"bs oper lea rt of use assets","eqy fund relative period","-0fq","eqy consolidated="&amp;$CS$3,"eqy fund crncy="&amp;$BJ$4,"scaling format",$BI$8)</f>
        <v>#NAME?</v>
      </c>
      <c r="DX55" t="s">
        <v>990</v>
      </c>
      <c r="DY55" s="2" t="s">
        <v>991</v>
      </c>
      <c r="DZ55" s="695">
        <v>0.15</v>
      </c>
    </row>
    <row r="56" spans="1:130" ht="16" customHeight="1">
      <c r="A56" s="831">
        <f t="shared" si="86"/>
        <v>42004</v>
      </c>
      <c r="B56" s="74">
        <v>135.322</v>
      </c>
      <c r="C56" s="687">
        <v>0</v>
      </c>
      <c r="D56" s="687">
        <v>93.429000000000002</v>
      </c>
      <c r="E56" s="687">
        <v>69.427999999999997</v>
      </c>
      <c r="F56" s="687">
        <f t="shared" si="141"/>
        <v>10.767000000000024</v>
      </c>
      <c r="G56" s="687">
        <f t="shared" si="87"/>
        <v>0</v>
      </c>
      <c r="H56" s="687">
        <v>27.248000000000001</v>
      </c>
      <c r="I56" s="687">
        <v>0</v>
      </c>
      <c r="J56" s="687">
        <f t="shared" si="88"/>
        <v>0</v>
      </c>
      <c r="K56" s="687">
        <v>44.552999999999997</v>
      </c>
      <c r="L56" s="687">
        <v>40.274000000000001</v>
      </c>
      <c r="M56" s="687">
        <f t="shared" si="89"/>
        <v>23.387</v>
      </c>
      <c r="N56" s="687">
        <v>444.40800000000002</v>
      </c>
      <c r="O56" s="687">
        <f t="shared" si="90"/>
        <v>309.08600000000001</v>
      </c>
      <c r="P56" s="687">
        <f t="shared" si="142"/>
        <v>359.58100000000002</v>
      </c>
      <c r="Q56" s="687">
        <f t="shared" si="91"/>
        <v>224.25900000000001</v>
      </c>
      <c r="R56" s="687">
        <f t="shared" si="92"/>
        <v>216.95300000000003</v>
      </c>
      <c r="S56" s="687">
        <f t="shared" si="143"/>
        <v>11.998000000000019</v>
      </c>
      <c r="T56" s="132">
        <v>38.381</v>
      </c>
      <c r="U56" s="687">
        <f t="shared" si="93"/>
        <v>39.228999999999999</v>
      </c>
      <c r="V56" s="687">
        <f t="shared" si="94"/>
        <v>14.382999999999999</v>
      </c>
      <c r="W56" s="687">
        <f t="shared" si="95"/>
        <v>0</v>
      </c>
      <c r="X56" s="687">
        <f t="shared" si="96"/>
        <v>2.9780000000000002</v>
      </c>
      <c r="Y56" s="687">
        <f t="shared" si="97"/>
        <v>0</v>
      </c>
      <c r="Z56" s="687">
        <f t="shared" si="98"/>
        <v>20.613</v>
      </c>
      <c r="AA56" s="687">
        <f t="shared" si="99"/>
        <v>-103.714</v>
      </c>
      <c r="AB56" s="687">
        <v>85.814999999999998</v>
      </c>
      <c r="AC56" s="687">
        <v>328.82400000000001</v>
      </c>
      <c r="AD56" s="687">
        <f t="shared" si="100"/>
        <v>1.52800000000002</v>
      </c>
      <c r="AE56" s="687">
        <v>327.29599999999999</v>
      </c>
      <c r="AF56" s="687">
        <f t="shared" si="101"/>
        <v>242.46899999999999</v>
      </c>
      <c r="AG56" s="811" t="str">
        <f t="shared" ca="1" si="102"/>
        <v/>
      </c>
      <c r="AH56" s="805" t="str">
        <f t="shared" si="103"/>
        <v/>
      </c>
      <c r="AI56" s="912" t="str">
        <f t="shared" ca="1" si="104"/>
        <v/>
      </c>
      <c r="AJ56" s="815">
        <f t="shared" si="105"/>
        <v>1.3578167774736019</v>
      </c>
      <c r="AK56" s="75">
        <f t="shared" si="106"/>
        <v>-1.2631412286257124</v>
      </c>
      <c r="AL56" s="805">
        <v>5.2797000000000001</v>
      </c>
      <c r="AM56" s="811">
        <f t="shared" si="107"/>
        <v>190.15303430079155</v>
      </c>
      <c r="AN56" s="913">
        <f t="shared" si="108"/>
        <v>-31.688135510363708</v>
      </c>
      <c r="AO56" s="74">
        <f t="shared" si="109"/>
        <v>118.99465160287563</v>
      </c>
      <c r="AP56" s="687">
        <f t="shared" si="110"/>
        <v>90.026016573520906</v>
      </c>
      <c r="AQ56" s="687">
        <f t="shared" si="111"/>
        <v>65.782302862965523</v>
      </c>
      <c r="AR56" s="767">
        <f t="shared" si="112"/>
        <v>143.23836531343102</v>
      </c>
      <c r="AS56" s="928">
        <v>1.1451</v>
      </c>
      <c r="AU56" s="327">
        <v>84.826999999999998</v>
      </c>
      <c r="AV56" s="915">
        <f t="shared" si="113"/>
        <v>-42.774127826650002</v>
      </c>
      <c r="AW56" s="515">
        <f t="shared" si="114"/>
        <v>57.274212836954888</v>
      </c>
      <c r="AX56" s="915">
        <f t="shared" si="115"/>
        <v>38.495639888926782</v>
      </c>
      <c r="AY56" s="916">
        <v>23.591000000000001</v>
      </c>
      <c r="AZ56" s="917" t="str">
        <f t="shared" ca="1" si="116"/>
        <v/>
      </c>
      <c r="BC56" s="33">
        <v>14.247</v>
      </c>
      <c r="BD56" s="327">
        <f t="shared" si="117"/>
        <v>81.631000000000029</v>
      </c>
      <c r="BE56" s="8">
        <f t="shared" si="118"/>
        <v>173.62400000000002</v>
      </c>
      <c r="BF56" s="8">
        <v>308.94600000000003</v>
      </c>
      <c r="BG56" s="8">
        <v>108.214</v>
      </c>
      <c r="BH56" s="328">
        <v>91.992999999999995</v>
      </c>
      <c r="BI56" s="327">
        <v>14.382999999999999</v>
      </c>
      <c r="BJ56" s="8"/>
      <c r="BK56" s="8">
        <f t="shared" si="119"/>
        <v>14.382999999999999</v>
      </c>
      <c r="BL56" s="8">
        <v>2.9780000000000002</v>
      </c>
      <c r="BM56" s="8"/>
      <c r="BN56" s="328">
        <f t="shared" si="120"/>
        <v>2.9780000000000002</v>
      </c>
      <c r="BO56" s="327">
        <v>0.19600000000000001</v>
      </c>
      <c r="BP56" s="8">
        <v>2.1749999999999998</v>
      </c>
      <c r="BQ56" s="8">
        <f t="shared" si="121"/>
        <v>-1.9789999999999999</v>
      </c>
      <c r="BR56" s="328">
        <f t="shared" si="122"/>
        <v>-1009.6938775510204</v>
      </c>
      <c r="BS56" s="327" t="e">
        <f t="array" aca="1" ref="BS56" ca="1">_xll.BDP($BD$1,"bs mkt sec other st invest","eqy fund relative period","-0fs","eqy consolidated="&amp;$CS$3,"eqy fund crncy="&amp;$BJ$4,"scaling format",$BI$8)</f>
        <v>#NAME?</v>
      </c>
      <c r="BT56" s="8" t="e">
        <f t="array" aca="1" ref="BT56" ca="1">_xll.BDP($BD$1,"bs lt invest","eqy fund relative period","-0fs","eqy consolidated="&amp;$CS$3,"eqy fund crncy="&amp;$BJ$4,"scaling format",$BI$8)</f>
        <v>#NAME?</v>
      </c>
      <c r="BU56" s="8" t="e">
        <f t="array" aca="1" ref="BU56" ca="1">_xll.BDP($BD$1,"bs tot asset","eqy fund relative period","-0fs","eqy consolidated="&amp;$CS$3,"eqy fund crncy="&amp;$BJ$4,"scaling format",$BI$8)</f>
        <v>#NAME?</v>
      </c>
      <c r="BV56" s="8" t="e">
        <f t="array" aca="1" ref="BV56" ca="1">_xll.BDP($BD$1,"bs pure retained earnings","eqy fund relative period","-0fs","eqy consolidated="&amp;$CS$3,"eqy fund crncy="&amp;$BJ$4,"scaling format",$BI$8)</f>
        <v>#NAME?</v>
      </c>
      <c r="BW56" s="8" t="e">
        <f t="array" aca="1" ref="BW56" ca="1">_xll.BDP($BD$1,"bs cur asset report","eqy fund relative period","-0fs","eqy consolidated="&amp;$CS$3,"eqy fund crncy="&amp;$BJ$4,"scaling format",$BI$8)</f>
        <v>#NAME?</v>
      </c>
      <c r="BX56" s="328" t="e">
        <f t="array" aca="1" ref="BX56" ca="1">_xll.BDP($BD$1,"non cur liab","eqy fund relative period","-0fs","eqy consolidated="&amp;$CS$3,"eqy fund crncy="&amp;$BJ$4,"scaling format",$BI$8)</f>
        <v>#NAME?</v>
      </c>
      <c r="BY56" s="33">
        <f t="shared" si="123"/>
        <v>4.9864280674410528</v>
      </c>
      <c r="BZ56" s="820"/>
      <c r="CA56" s="821"/>
      <c r="CB56" s="821"/>
      <c r="CC56" s="823" t="str">
        <f t="shared" si="124"/>
        <v/>
      </c>
      <c r="CD56" s="821">
        <v>0</v>
      </c>
      <c r="CE56" s="821"/>
      <c r="CF56" s="821"/>
      <c r="CG56" s="823">
        <f t="shared" si="125"/>
        <v>0</v>
      </c>
      <c r="CH56" s="48"/>
      <c r="CI56" s="48"/>
      <c r="CJ56" s="48"/>
      <c r="CK56" s="48"/>
      <c r="CL56" s="48">
        <v>1.0549999999999999</v>
      </c>
      <c r="CM56" s="48"/>
      <c r="CN56" s="48"/>
      <c r="CO56" s="349">
        <f t="shared" si="126"/>
        <v>1.0549999999999999</v>
      </c>
      <c r="CP56" s="48">
        <v>0</v>
      </c>
      <c r="CQ56" s="48"/>
      <c r="CR56" s="48"/>
      <c r="CS56" s="918">
        <f t="shared" si="127"/>
        <v>0</v>
      </c>
      <c r="CT56" s="832" t="e">
        <f t="array" aca="1" ref="CT56" ca="1">_xll.BDP($BD$1,"ard investment in affiliate jv","eqy fund relative period","-0fs","eqy consolidated="&amp;$CS$3,"eqy fund crncy="&amp;$BJ$4,"scaling format",$BI$8)</f>
        <v>#NAME?</v>
      </c>
      <c r="CU56" s="871">
        <v>3.8690000000000002</v>
      </c>
      <c r="CV56" s="919">
        <v>3.8690000000000002</v>
      </c>
      <c r="CW56" s="919">
        <v>3.8690000000000002</v>
      </c>
      <c r="CX56" s="919"/>
      <c r="CY56" s="920">
        <f t="shared" si="128"/>
        <v>3.8690000000000002</v>
      </c>
      <c r="CZ56" s="526">
        <f t="shared" si="129"/>
        <v>1.0213914048949702</v>
      </c>
      <c r="DA56" s="871"/>
      <c r="DB56" s="919"/>
      <c r="DC56" s="919"/>
      <c r="DD56" s="919">
        <v>4.08</v>
      </c>
      <c r="DE56" s="919">
        <v>10.039999999999999</v>
      </c>
      <c r="DF56" s="919" t="str">
        <f t="shared" si="130"/>
        <v/>
      </c>
      <c r="DG56" s="921">
        <f t="shared" si="131"/>
        <v>5.9599999999999991</v>
      </c>
      <c r="DH56" s="721">
        <f t="shared" si="132"/>
        <v>1.5734021124771312E-2</v>
      </c>
      <c r="DI56" s="871">
        <v>75.965599999999995</v>
      </c>
      <c r="DJ56" s="919">
        <f t="shared" si="133"/>
        <v>75.079899999999995</v>
      </c>
      <c r="DK56" s="922">
        <f t="shared" si="134"/>
        <v>75.965599999999995</v>
      </c>
      <c r="DL56" s="380">
        <v>0.93500000000000005</v>
      </c>
      <c r="DM56" s="3">
        <v>0.94499999999999995</v>
      </c>
      <c r="DN56" s="411">
        <f t="shared" si="135"/>
        <v>0.93500000000000005</v>
      </c>
      <c r="DO56" s="923">
        <f t="shared" si="136"/>
        <v>1.4829978265262778</v>
      </c>
      <c r="DP56" s="924">
        <f t="shared" si="137"/>
        <v>216.64379947229551</v>
      </c>
      <c r="DQ56" s="925">
        <f t="shared" si="138"/>
        <v>3.3583642233648217</v>
      </c>
      <c r="DR56" s="327"/>
      <c r="DS56" s="8"/>
      <c r="DT56" s="10">
        <f t="shared" si="139"/>
        <v>0</v>
      </c>
      <c r="DU56" s="926">
        <f t="shared" si="140"/>
        <v>0</v>
      </c>
      <c r="DV56" s="927" t="e">
        <f t="array" aca="1" ref="DV56" ca="1">_xll.BDP($BD$1,"bs oper lea rt of use assets","eqy fund relative period","-0fs","eqy consolidated="&amp;$CS$3,"eqy fund crncy="&amp;$BJ$4,"scaling format",$BI$8)</f>
        <v>#NAME?</v>
      </c>
      <c r="DX56" t="s">
        <v>992</v>
      </c>
      <c r="DY56" s="2" t="s">
        <v>993</v>
      </c>
      <c r="DZ56" s="695">
        <v>0.1</v>
      </c>
    </row>
    <row r="57" spans="1:130" ht="16" customHeight="1">
      <c r="A57" s="831">
        <f t="shared" si="86"/>
        <v>42369</v>
      </c>
      <c r="B57" s="74">
        <v>157.81800000000001</v>
      </c>
      <c r="C57" s="687">
        <v>0</v>
      </c>
      <c r="D57" s="687">
        <v>80.688999999999993</v>
      </c>
      <c r="E57" s="687">
        <v>53.877000000000002</v>
      </c>
      <c r="F57" s="687">
        <f t="shared" si="141"/>
        <v>6.4520000000000053</v>
      </c>
      <c r="G57" s="687">
        <f t="shared" si="87"/>
        <v>0</v>
      </c>
      <c r="H57" s="687">
        <v>26.718</v>
      </c>
      <c r="I57" s="687">
        <v>0</v>
      </c>
      <c r="J57" s="687">
        <f t="shared" si="88"/>
        <v>0</v>
      </c>
      <c r="K57" s="687">
        <v>45.542000000000002</v>
      </c>
      <c r="L57" s="687">
        <v>40.374000000000002</v>
      </c>
      <c r="M57" s="687">
        <f t="shared" si="89"/>
        <v>21.256</v>
      </c>
      <c r="N57" s="687">
        <v>432.726</v>
      </c>
      <c r="O57" s="687">
        <f t="shared" si="90"/>
        <v>274.90800000000002</v>
      </c>
      <c r="P57" s="687">
        <f t="shared" si="142"/>
        <v>346.81</v>
      </c>
      <c r="Q57" s="687">
        <f t="shared" si="91"/>
        <v>188.99200000000002</v>
      </c>
      <c r="R57" s="687">
        <f t="shared" si="92"/>
        <v>231.45699999999999</v>
      </c>
      <c r="S57" s="687">
        <f t="shared" si="143"/>
        <v>-7.9920000000000329</v>
      </c>
      <c r="T57" s="132">
        <v>27.529</v>
      </c>
      <c r="U57" s="687">
        <f t="shared" si="93"/>
        <v>31.850000000000005</v>
      </c>
      <c r="V57" s="687">
        <f t="shared" si="94"/>
        <v>8</v>
      </c>
      <c r="W57" s="687">
        <f t="shared" si="95"/>
        <v>0</v>
      </c>
      <c r="X57" s="687">
        <f t="shared" si="96"/>
        <v>13.352</v>
      </c>
      <c r="Y57" s="687">
        <f t="shared" si="97"/>
        <v>0</v>
      </c>
      <c r="Z57" s="687">
        <f t="shared" si="98"/>
        <v>19.775000000000002</v>
      </c>
      <c r="AA57" s="687">
        <f t="shared" si="99"/>
        <v>-125.13800000000001</v>
      </c>
      <c r="AB57" s="687">
        <v>39.244</v>
      </c>
      <c r="AC57" s="687">
        <v>332.22</v>
      </c>
      <c r="AD57" s="687">
        <f t="shared" si="100"/>
        <v>1.6040000000000418</v>
      </c>
      <c r="AE57" s="687">
        <v>330.61599999999999</v>
      </c>
      <c r="AF57" s="687">
        <f t="shared" si="101"/>
        <v>244.7</v>
      </c>
      <c r="AG57" s="811" t="str">
        <f t="shared" ca="1" si="102"/>
        <v/>
      </c>
      <c r="AH57" s="805" t="str">
        <f t="shared" ca="1" si="103"/>
        <v/>
      </c>
      <c r="AI57" s="912" t="str">
        <f t="shared" ca="1" si="104"/>
        <v/>
      </c>
      <c r="AJ57" s="815">
        <f t="shared" si="105"/>
        <v>1.308847726667796</v>
      </c>
      <c r="AK57" s="75">
        <f t="shared" si="106"/>
        <v>-1.7219561867018935</v>
      </c>
      <c r="AL57" s="805">
        <v>6.4271000000000003</v>
      </c>
      <c r="AM57" s="811">
        <f t="shared" si="107"/>
        <v>124.2381974248927</v>
      </c>
      <c r="AN57" s="913">
        <f t="shared" si="108"/>
        <v>-37.84995281535074</v>
      </c>
      <c r="AO57" s="74">
        <f t="shared" si="109"/>
        <v>110.00472684962466</v>
      </c>
      <c r="AP57" s="687">
        <f t="shared" si="110"/>
        <v>84.338427747518651</v>
      </c>
      <c r="AQ57" s="687">
        <f t="shared" si="111"/>
        <v>56.208031728628491</v>
      </c>
      <c r="AR57" s="767">
        <f t="shared" si="112"/>
        <v>138.13512286851483</v>
      </c>
      <c r="AS57" s="928">
        <v>1.1313</v>
      </c>
      <c r="AU57" s="327">
        <v>85.915999999999997</v>
      </c>
      <c r="AV57" s="915">
        <f t="shared" si="113"/>
        <v>-51.139354311401718</v>
      </c>
      <c r="AW57" s="515">
        <f t="shared" si="114"/>
        <v>66.28093446275264</v>
      </c>
      <c r="AX57" s="915">
        <f t="shared" si="115"/>
        <v>44.969176574196389</v>
      </c>
      <c r="AY57" s="916">
        <v>33.127000000000002</v>
      </c>
      <c r="AZ57" s="917" t="str">
        <f t="shared" ca="1" si="116"/>
        <v/>
      </c>
      <c r="BC57" s="33">
        <v>11.327999999999999</v>
      </c>
      <c r="BD57" s="327">
        <f t="shared" si="117"/>
        <v>73.638999999999996</v>
      </c>
      <c r="BE57" s="8">
        <f t="shared" si="118"/>
        <v>141.018</v>
      </c>
      <c r="BF57" s="8">
        <v>298.83600000000001</v>
      </c>
      <c r="BG57" s="8">
        <v>107.172</v>
      </c>
      <c r="BH57" s="328">
        <v>67.379000000000005</v>
      </c>
      <c r="BI57" s="327">
        <v>8</v>
      </c>
      <c r="BJ57" s="8"/>
      <c r="BK57" s="8">
        <f t="shared" si="119"/>
        <v>8</v>
      </c>
      <c r="BL57" s="8">
        <v>13.352</v>
      </c>
      <c r="BM57" s="8"/>
      <c r="BN57" s="328">
        <f t="shared" si="120"/>
        <v>13.352</v>
      </c>
      <c r="BO57" s="327">
        <v>8.1470000000000002</v>
      </c>
      <c r="BP57" s="8">
        <v>3.1459999999999999</v>
      </c>
      <c r="BQ57" s="8">
        <f t="shared" si="121"/>
        <v>5.0010000000000003</v>
      </c>
      <c r="BR57" s="328">
        <f t="shared" si="122"/>
        <v>61.384558733276052</v>
      </c>
      <c r="BS57" s="338"/>
      <c r="BX57" s="765"/>
      <c r="BY57" s="33">
        <f t="shared" si="123"/>
        <v>4.5346952768298197</v>
      </c>
      <c r="BZ57" s="820"/>
      <c r="CA57" s="821"/>
      <c r="CB57" s="821"/>
      <c r="CC57" s="823" t="str">
        <f t="shared" si="124"/>
        <v/>
      </c>
      <c r="CD57" s="821">
        <v>2.516</v>
      </c>
      <c r="CE57" s="821"/>
      <c r="CF57" s="821"/>
      <c r="CG57" s="823">
        <f t="shared" si="125"/>
        <v>2.516</v>
      </c>
      <c r="CH57" s="48"/>
      <c r="CI57" s="48"/>
      <c r="CJ57" s="48"/>
      <c r="CK57" s="48"/>
      <c r="CL57" s="48">
        <v>1.194</v>
      </c>
      <c r="CM57" s="48"/>
      <c r="CN57" s="48"/>
      <c r="CO57" s="349">
        <f t="shared" si="126"/>
        <v>1.194</v>
      </c>
      <c r="CP57" s="48">
        <v>0</v>
      </c>
      <c r="CQ57" s="48"/>
      <c r="CR57" s="48"/>
      <c r="CS57" s="918">
        <f t="shared" si="127"/>
        <v>0</v>
      </c>
      <c r="CT57" s="832" t="str">
        <f ca="1">IF(ISNUMBER(CT55),CT55,IF(ISNUMBER(CT56),CT56,""))</f>
        <v/>
      </c>
      <c r="CU57" s="871">
        <v>5.1929999999999996</v>
      </c>
      <c r="CV57" s="919">
        <v>5.1929999999999996</v>
      </c>
      <c r="CW57" s="919">
        <v>5.1929999999999996</v>
      </c>
      <c r="CX57" s="919">
        <v>5.1929999999999996</v>
      </c>
      <c r="CY57" s="920">
        <f t="shared" si="128"/>
        <v>5.1929999999999996</v>
      </c>
      <c r="CZ57" s="526">
        <f t="shared" si="129"/>
        <v>1.487087850724214</v>
      </c>
      <c r="DA57" s="871"/>
      <c r="DB57" s="919"/>
      <c r="DC57" s="919"/>
      <c r="DD57" s="919">
        <v>5.1829999999999998</v>
      </c>
      <c r="DE57" s="919">
        <v>14.776999999999999</v>
      </c>
      <c r="DF57" s="919" t="str">
        <f t="shared" si="130"/>
        <v/>
      </c>
      <c r="DG57" s="921">
        <f t="shared" si="131"/>
        <v>9.5939999999999994</v>
      </c>
      <c r="DH57" s="721">
        <f t="shared" si="132"/>
        <v>2.7473754746482015E-2</v>
      </c>
      <c r="DI57" s="871">
        <v>77.007599999999996</v>
      </c>
      <c r="DJ57" s="919">
        <f t="shared" si="133"/>
        <v>75.862399999999994</v>
      </c>
      <c r="DK57" s="922">
        <f t="shared" si="134"/>
        <v>77.007599999999996</v>
      </c>
      <c r="DL57" s="380">
        <v>0.63500000000000001</v>
      </c>
      <c r="DM57" s="3">
        <v>0.64500000000000002</v>
      </c>
      <c r="DN57" s="411">
        <f t="shared" si="135"/>
        <v>0.63500000000000001</v>
      </c>
      <c r="DO57" s="923">
        <f t="shared" si="136"/>
        <v>1.4172864732325297</v>
      </c>
      <c r="DP57" s="924">
        <f t="shared" si="137"/>
        <v>155.94849785407723</v>
      </c>
      <c r="DQ57" s="925">
        <f t="shared" si="138"/>
        <v>4.4351504177859571</v>
      </c>
      <c r="DR57" s="327"/>
      <c r="DS57" s="8"/>
      <c r="DT57" s="10">
        <f t="shared" si="139"/>
        <v>0</v>
      </c>
      <c r="DU57" s="926">
        <f t="shared" si="140"/>
        <v>0</v>
      </c>
      <c r="DV57" s="927" t="str">
        <f ca="1">IF(ISNUMBER(DV55),DV55,IF(ISNUMBER(DV56),DV56,""))</f>
        <v/>
      </c>
      <c r="DX57" t="s">
        <v>994</v>
      </c>
      <c r="DY57" s="2" t="s">
        <v>995</v>
      </c>
      <c r="DZ57" s="695">
        <v>0.25</v>
      </c>
    </row>
    <row r="58" spans="1:130" ht="16" customHeight="1">
      <c r="A58" s="831">
        <f t="shared" si="86"/>
        <v>42735</v>
      </c>
      <c r="B58" s="74">
        <v>224.79</v>
      </c>
      <c r="C58" s="687">
        <v>80</v>
      </c>
      <c r="D58" s="687">
        <v>89.954999999999998</v>
      </c>
      <c r="E58" s="687">
        <v>55.054000000000002</v>
      </c>
      <c r="F58" s="687">
        <f t="shared" si="141"/>
        <v>10.280000000000015</v>
      </c>
      <c r="G58" s="687">
        <f t="shared" si="87"/>
        <v>0</v>
      </c>
      <c r="H58" s="687">
        <v>26.992999999999999</v>
      </c>
      <c r="I58" s="687">
        <v>0</v>
      </c>
      <c r="J58" s="687">
        <f t="shared" si="88"/>
        <v>0</v>
      </c>
      <c r="K58" s="687">
        <v>45.866999999999997</v>
      </c>
      <c r="L58" s="687">
        <v>37.844000000000001</v>
      </c>
      <c r="M58" s="687">
        <f t="shared" si="89"/>
        <v>16.786000000000001</v>
      </c>
      <c r="N58" s="687">
        <v>587.56899999999996</v>
      </c>
      <c r="O58" s="687">
        <f t="shared" si="90"/>
        <v>282.779</v>
      </c>
      <c r="P58" s="687">
        <f t="shared" si="142"/>
        <v>503.85799999999995</v>
      </c>
      <c r="Q58" s="687">
        <f t="shared" si="91"/>
        <v>199.06799999999998</v>
      </c>
      <c r="R58" s="687">
        <f t="shared" si="92"/>
        <v>362.541</v>
      </c>
      <c r="S58" s="687">
        <f t="shared" si="143"/>
        <v>-15.887999999999977</v>
      </c>
      <c r="T58" s="132">
        <v>38.948999999999998</v>
      </c>
      <c r="U58" s="687">
        <f t="shared" si="93"/>
        <v>44.494</v>
      </c>
      <c r="V58" s="687">
        <f t="shared" si="94"/>
        <v>14.095000000000001</v>
      </c>
      <c r="W58" s="687">
        <f t="shared" si="95"/>
        <v>0</v>
      </c>
      <c r="X58" s="687">
        <f t="shared" si="96"/>
        <v>122.60299999999999</v>
      </c>
      <c r="Y58" s="687">
        <f t="shared" si="97"/>
        <v>0</v>
      </c>
      <c r="Z58" s="687">
        <f t="shared" si="98"/>
        <v>22.391000000000005</v>
      </c>
      <c r="AA58" s="687">
        <f t="shared" si="99"/>
        <v>-153.535</v>
      </c>
      <c r="AB58" s="687">
        <v>60.722000000000001</v>
      </c>
      <c r="AC58" s="687">
        <v>345.03699999999998</v>
      </c>
      <c r="AD58" s="687">
        <f t="shared" si="100"/>
        <v>1.6259999999999764</v>
      </c>
      <c r="AE58" s="687">
        <v>343.411</v>
      </c>
      <c r="AF58" s="687">
        <f t="shared" si="101"/>
        <v>259.7</v>
      </c>
      <c r="AG58" s="811" t="str">
        <f t="shared" ca="1" si="102"/>
        <v/>
      </c>
      <c r="AH58" s="805" t="str">
        <f t="shared" ca="1" si="103"/>
        <v/>
      </c>
      <c r="AI58" s="912" t="str">
        <f t="shared" ca="1" si="104"/>
        <v/>
      </c>
      <c r="AJ58" s="815">
        <f t="shared" si="105"/>
        <v>1.710978972717822</v>
      </c>
      <c r="AK58" s="75">
        <f t="shared" si="106"/>
        <v>-1.7100485609908223</v>
      </c>
      <c r="AL58" s="805">
        <v>39.618400000000001</v>
      </c>
      <c r="AM58" s="811">
        <f t="shared" si="107"/>
        <v>118.93670886075951</v>
      </c>
      <c r="AN58" s="913">
        <f t="shared" si="108"/>
        <v>-44.708818296443617</v>
      </c>
      <c r="AO58" s="74">
        <f t="shared" si="109"/>
        <v>109.27333137568381</v>
      </c>
      <c r="AP58" s="687">
        <f t="shared" si="110"/>
        <v>87.468731268731261</v>
      </c>
      <c r="AQ58" s="687">
        <f t="shared" si="111"/>
        <v>77.307497797644288</v>
      </c>
      <c r="AR58" s="767">
        <f t="shared" si="112"/>
        <v>119.43456484677077</v>
      </c>
      <c r="AS58" s="928">
        <v>1.1158999999999999</v>
      </c>
      <c r="AU58" s="327">
        <v>83.710999999999999</v>
      </c>
      <c r="AV58" s="915">
        <f t="shared" si="113"/>
        <v>-59.120138621486326</v>
      </c>
      <c r="AW58" s="515">
        <f t="shared" si="114"/>
        <v>96.581018981018985</v>
      </c>
      <c r="AX58" s="915">
        <f t="shared" si="115"/>
        <v>168.46542813864386</v>
      </c>
      <c r="AY58" s="916">
        <v>144.994</v>
      </c>
      <c r="AZ58" s="917" t="str">
        <f t="shared" ca="1" si="116"/>
        <v/>
      </c>
      <c r="BC58" s="33">
        <v>14.557</v>
      </c>
      <c r="BD58" s="327">
        <f t="shared" si="117"/>
        <v>57.751000000000019</v>
      </c>
      <c r="BE58" s="8">
        <f t="shared" si="118"/>
        <v>155.28900000000002</v>
      </c>
      <c r="BF58" s="8">
        <v>460.07900000000001</v>
      </c>
      <c r="BG58" s="8">
        <v>100.497</v>
      </c>
      <c r="BH58" s="328">
        <v>97.537999999999997</v>
      </c>
      <c r="BI58" s="327">
        <v>14.095000000000001</v>
      </c>
      <c r="BJ58" s="8"/>
      <c r="BK58" s="8">
        <f t="shared" si="119"/>
        <v>14.095000000000001</v>
      </c>
      <c r="BL58" s="8">
        <v>122.60299999999999</v>
      </c>
      <c r="BM58" s="8"/>
      <c r="BN58" s="328">
        <f t="shared" si="120"/>
        <v>122.60299999999999</v>
      </c>
      <c r="BO58" s="327">
        <v>8.2590000000000003</v>
      </c>
      <c r="BP58" s="8">
        <v>2.4820000000000002</v>
      </c>
      <c r="BQ58" s="8">
        <f t="shared" si="121"/>
        <v>5.7770000000000001</v>
      </c>
      <c r="BR58" s="328">
        <f t="shared" si="122"/>
        <v>69.947935585421959</v>
      </c>
      <c r="BS58" s="339" t="s">
        <v>863</v>
      </c>
      <c r="BT58" s="2" t="s">
        <v>870</v>
      </c>
      <c r="BU58" s="2" t="s">
        <v>879</v>
      </c>
      <c r="BV58" s="2" t="s">
        <v>996</v>
      </c>
      <c r="BW58" s="2" t="s">
        <v>997</v>
      </c>
      <c r="BX58" s="340" t="s">
        <v>842</v>
      </c>
      <c r="BY58" s="33">
        <f t="shared" si="123"/>
        <v>4.8739745663899283</v>
      </c>
      <c r="BZ58" s="820"/>
      <c r="CA58" s="821"/>
      <c r="CB58" s="821"/>
      <c r="CC58" s="823" t="str">
        <f t="shared" si="124"/>
        <v/>
      </c>
      <c r="CD58" s="821">
        <v>7.891</v>
      </c>
      <c r="CE58" s="821"/>
      <c r="CF58" s="821"/>
      <c r="CG58" s="823">
        <f t="shared" si="125"/>
        <v>7.891</v>
      </c>
      <c r="CH58" s="48"/>
      <c r="CI58" s="48"/>
      <c r="CJ58" s="48"/>
      <c r="CK58" s="48"/>
      <c r="CL58" s="48">
        <v>0.84499999999999997</v>
      </c>
      <c r="CM58" s="48"/>
      <c r="CN58" s="48"/>
      <c r="CO58" s="349">
        <f t="shared" si="126"/>
        <v>0.84499999999999997</v>
      </c>
      <c r="CP58" s="48">
        <v>0</v>
      </c>
      <c r="CQ58" s="48"/>
      <c r="CR58" s="48"/>
      <c r="CS58" s="918">
        <f t="shared" si="127"/>
        <v>0</v>
      </c>
      <c r="CT58" s="832"/>
      <c r="CU58" s="871">
        <v>7.2469999999999999</v>
      </c>
      <c r="CV58" s="919">
        <v>7.2469999999999999</v>
      </c>
      <c r="CW58" s="919">
        <v>7.2469999999999999</v>
      </c>
      <c r="CX58" s="919">
        <v>7.2469999999999999</v>
      </c>
      <c r="CY58" s="920">
        <f t="shared" si="128"/>
        <v>7.2469999999999999</v>
      </c>
      <c r="CZ58" s="526">
        <f t="shared" si="129"/>
        <v>1.9306027306027305</v>
      </c>
      <c r="DA58" s="871"/>
      <c r="DB58" s="919"/>
      <c r="DC58" s="919"/>
      <c r="DD58" s="919">
        <v>4.742</v>
      </c>
      <c r="DE58" s="919">
        <v>14.616</v>
      </c>
      <c r="DF58" s="919" t="str">
        <f t="shared" si="130"/>
        <v/>
      </c>
      <c r="DG58" s="921">
        <f t="shared" si="131"/>
        <v>9.8739999999999988</v>
      </c>
      <c r="DH58" s="721">
        <f t="shared" si="132"/>
        <v>2.6304362304362301E-2</v>
      </c>
      <c r="DI58" s="871">
        <v>77.016199999999998</v>
      </c>
      <c r="DJ58" s="919">
        <f t="shared" si="133"/>
        <v>75.201700000000002</v>
      </c>
      <c r="DK58" s="922">
        <f t="shared" si="134"/>
        <v>77.016199999999998</v>
      </c>
      <c r="DL58" s="380">
        <v>0.85</v>
      </c>
      <c r="DM58" s="3">
        <v>0.87</v>
      </c>
      <c r="DN58" s="411">
        <f t="shared" si="135"/>
        <v>0.85</v>
      </c>
      <c r="DO58" s="923">
        <f t="shared" si="136"/>
        <v>1.9401540238737003</v>
      </c>
      <c r="DP58" s="924">
        <f t="shared" si="137"/>
        <v>142.0632911392405</v>
      </c>
      <c r="DQ58" s="925">
        <f t="shared" si="138"/>
        <v>4.7169205847977205</v>
      </c>
      <c r="DR58" s="327"/>
      <c r="DS58" s="8"/>
      <c r="DT58" s="10">
        <f t="shared" si="139"/>
        <v>0</v>
      </c>
      <c r="DU58" s="926">
        <f t="shared" si="140"/>
        <v>0</v>
      </c>
      <c r="DV58" s="927"/>
      <c r="DX58" t="s">
        <v>998</v>
      </c>
      <c r="DY58" s="2" t="s">
        <v>999</v>
      </c>
      <c r="DZ58" s="695">
        <v>0</v>
      </c>
    </row>
    <row r="59" spans="1:130" ht="16" customHeight="1">
      <c r="A59" s="831">
        <f t="shared" si="86"/>
        <v>43100</v>
      </c>
      <c r="B59" s="74">
        <v>527.80600000000004</v>
      </c>
      <c r="C59" s="687">
        <v>0</v>
      </c>
      <c r="D59" s="687">
        <v>151.67400000000001</v>
      </c>
      <c r="E59" s="687">
        <v>70.947000000000003</v>
      </c>
      <c r="F59" s="687">
        <f t="shared" si="141"/>
        <v>12.001999999999924</v>
      </c>
      <c r="G59" s="687">
        <f t="shared" si="87"/>
        <v>0</v>
      </c>
      <c r="H59" s="687">
        <v>26.516999999999999</v>
      </c>
      <c r="I59" s="687">
        <v>0</v>
      </c>
      <c r="J59" s="687">
        <f t="shared" si="88"/>
        <v>0</v>
      </c>
      <c r="K59" s="687">
        <v>44.686999999999998</v>
      </c>
      <c r="L59" s="687">
        <v>34.14</v>
      </c>
      <c r="M59" s="687">
        <f t="shared" si="89"/>
        <v>7.1800000000000068</v>
      </c>
      <c r="N59" s="687">
        <v>874.95299999999997</v>
      </c>
      <c r="O59" s="687">
        <f t="shared" si="90"/>
        <v>347.14699999999993</v>
      </c>
      <c r="P59" s="687">
        <f t="shared" si="142"/>
        <v>796.12599999999998</v>
      </c>
      <c r="Q59" s="687">
        <f t="shared" si="91"/>
        <v>268.31999999999994</v>
      </c>
      <c r="R59" s="687">
        <f t="shared" si="92"/>
        <v>616.14300000000003</v>
      </c>
      <c r="S59" s="687">
        <f t="shared" si="143"/>
        <v>30.585999999999913</v>
      </c>
      <c r="T59" s="132">
        <v>62.720999999999997</v>
      </c>
      <c r="U59" s="687">
        <f t="shared" si="93"/>
        <v>70.594999999999999</v>
      </c>
      <c r="V59" s="687">
        <f t="shared" si="94"/>
        <v>12.97</v>
      </c>
      <c r="W59" s="687">
        <f t="shared" si="95"/>
        <v>0</v>
      </c>
      <c r="X59" s="687">
        <f t="shared" si="96"/>
        <v>267.274</v>
      </c>
      <c r="Y59" s="687">
        <f t="shared" si="97"/>
        <v>0</v>
      </c>
      <c r="Z59" s="687">
        <f t="shared" si="98"/>
        <v>27.261000000000024</v>
      </c>
      <c r="AA59" s="687">
        <f t="shared" si="99"/>
        <v>-232.13900000000001</v>
      </c>
      <c r="AB59" s="687">
        <v>173.38</v>
      </c>
      <c r="AC59" s="687">
        <v>434.13200000000001</v>
      </c>
      <c r="AD59" s="687">
        <f t="shared" si="100"/>
        <v>0</v>
      </c>
      <c r="AE59" s="687">
        <v>434.13200000000001</v>
      </c>
      <c r="AF59" s="687">
        <f t="shared" si="101"/>
        <v>355.30500000000001</v>
      </c>
      <c r="AG59" s="811" t="str">
        <f t="shared" ca="1" si="102"/>
        <v/>
      </c>
      <c r="AH59" s="805" t="str">
        <f t="shared" ca="1" si="103"/>
        <v/>
      </c>
      <c r="AI59" s="912" t="str">
        <f t="shared" ca="1" si="104"/>
        <v/>
      </c>
      <c r="AJ59" s="815">
        <f t="shared" si="105"/>
        <v>2.0154077561663271</v>
      </c>
      <c r="AK59" s="75">
        <f t="shared" si="106"/>
        <v>-1.0419305466411128</v>
      </c>
      <c r="AL59" s="805">
        <v>64.552700000000002</v>
      </c>
      <c r="AM59" s="811">
        <f t="shared" si="107"/>
        <v>37.566457399103136</v>
      </c>
      <c r="AN59" s="913">
        <f t="shared" si="108"/>
        <v>-53.471985479070881</v>
      </c>
      <c r="AO59" s="74">
        <f t="shared" si="109"/>
        <v>101.88721671388103</v>
      </c>
      <c r="AP59" s="687">
        <f t="shared" si="110"/>
        <v>93.391381360864415</v>
      </c>
      <c r="AQ59" s="687">
        <f t="shared" si="111"/>
        <v>90.073831444759207</v>
      </c>
      <c r="AR59" s="767">
        <f t="shared" si="112"/>
        <v>105.20476662998624</v>
      </c>
      <c r="AS59" s="928">
        <v>1.1795</v>
      </c>
      <c r="AU59" s="327">
        <v>78.826999999999998</v>
      </c>
      <c r="AV59" s="915">
        <f t="shared" si="113"/>
        <v>-65.335134602665306</v>
      </c>
      <c r="AW59" s="515">
        <f t="shared" si="114"/>
        <v>103.94038310686</v>
      </c>
      <c r="AX59" s="915">
        <f t="shared" si="115"/>
        <v>132.70690359385452</v>
      </c>
      <c r="AY59" s="916">
        <v>294.53500000000003</v>
      </c>
      <c r="AZ59" s="917" t="str">
        <f t="shared" ca="1" si="116"/>
        <v/>
      </c>
      <c r="BC59" s="33">
        <v>15.423</v>
      </c>
      <c r="BD59" s="327">
        <f t="shared" si="117"/>
        <v>88.336999999999932</v>
      </c>
      <c r="BE59" s="8">
        <f t="shared" si="118"/>
        <v>234.62299999999993</v>
      </c>
      <c r="BF59" s="8">
        <v>762.42899999999997</v>
      </c>
      <c r="BG59" s="8">
        <v>86.007000000000005</v>
      </c>
      <c r="BH59" s="328">
        <v>146.286</v>
      </c>
      <c r="BI59" s="327">
        <v>12.97</v>
      </c>
      <c r="BJ59" s="8"/>
      <c r="BK59" s="8">
        <f t="shared" si="119"/>
        <v>12.97</v>
      </c>
      <c r="BL59" s="8">
        <v>267.274</v>
      </c>
      <c r="BM59" s="8"/>
      <c r="BN59" s="328">
        <f t="shared" si="120"/>
        <v>267.274</v>
      </c>
      <c r="BO59" s="327">
        <v>26.056000000000001</v>
      </c>
      <c r="BP59" s="8">
        <v>3.9529999999999998</v>
      </c>
      <c r="BQ59" s="8">
        <f t="shared" si="121"/>
        <v>22.103000000000002</v>
      </c>
      <c r="BR59" s="328">
        <f t="shared" si="122"/>
        <v>84.828830211851397</v>
      </c>
      <c r="BS59" s="327" t="e">
        <f t="array" aca="1" ref="BS59" ca="1">_xll.BDP($BD$1,"bs acct note rcv","eqy fund relative period","-0fq","eqy consolidated="&amp;$CS$3,"eqy fund crncy="&amp;$BJ$4,"scaling format",$BI$8)</f>
        <v>#NAME?</v>
      </c>
      <c r="BT59" s="8" t="e">
        <f t="array" aca="1" ref="BT59" ca="1">_xll.BDP($BD$1,"bs goodwill","eqy fund relative period","-0fq","eqy consolidated="&amp;$CS$3,"eqy fund crncy="&amp;$BJ$4,"scaling format",$BI$8)</f>
        <v>#NAME?</v>
      </c>
      <c r="BU59" s="8" t="e">
        <f t="array" aca="1" ref="BU59" ca="1">_xll.BDP($BD$1,"bs acct payable","eqy fund relative period","-0fq","eqy consolidated="&amp;$CS$3,"eqy fund crncy="&amp;$BJ$4,"scaling format",$BI$8)</f>
        <v>#NAME?</v>
      </c>
      <c r="BV59" s="8" t="e">
        <f t="array" aca="1" ref="BV59" ca="1">_xll.BDP($BD$1,"total equity","eqy fund relative period","-0fq","eqy consolidated="&amp;$CS$3,"eqy fund crncy="&amp;$BJ$4,"scaling format",$BI$8)</f>
        <v>#NAME?</v>
      </c>
      <c r="BW59" s="8" t="e">
        <f t="array" aca="1" ref="BW59" ca="1">_xll.BDP($BD$1,"bs other asset def chng other","eqy fund relative period","-0fq","eqy consolidated="&amp;$CS$3,"eqy fund crncy="&amp;$BJ$4,"scaling format",$BI$8)</f>
        <v>#NAME?</v>
      </c>
      <c r="BX59" s="328" t="e">
        <f t="array" aca="1" ref="BX59" ca="1">_xll.BDP($BD$1,"pension liabilities","eqy fund relative period","-0fq","eqy consolidated="&amp;$CS$3,"eqy fund crncy="&amp;$BJ$4,"scaling format",$BI$8)</f>
        <v>#NAME?</v>
      </c>
      <c r="BY59" s="33">
        <f t="shared" si="123"/>
        <v>7.2604558476441499</v>
      </c>
      <c r="BZ59" s="820"/>
      <c r="CA59" s="821"/>
      <c r="CB59" s="821"/>
      <c r="CC59" s="823" t="str">
        <f t="shared" si="124"/>
        <v/>
      </c>
      <c r="CD59" s="821">
        <v>8.2129999999999992</v>
      </c>
      <c r="CE59" s="821"/>
      <c r="CF59" s="821"/>
      <c r="CG59" s="823">
        <f t="shared" si="125"/>
        <v>8.2129999999999992</v>
      </c>
      <c r="CH59" s="48"/>
      <c r="CI59" s="48"/>
      <c r="CJ59" s="48"/>
      <c r="CK59" s="48"/>
      <c r="CL59" s="48">
        <v>0.748</v>
      </c>
      <c r="CM59" s="48"/>
      <c r="CN59" s="48"/>
      <c r="CO59" s="349">
        <f t="shared" si="126"/>
        <v>0.748</v>
      </c>
      <c r="CP59" s="48">
        <v>0</v>
      </c>
      <c r="CQ59" s="48"/>
      <c r="CR59" s="48"/>
      <c r="CS59" s="918">
        <f t="shared" si="127"/>
        <v>0</v>
      </c>
      <c r="CT59" s="832" t="e">
        <f t="array" aca="1" ref="CT59" ca="1">_xll.BDP($BD$1,"ardr investment in affiliate jv","eqy fund relative period","-0fq","eqy consolidated="&amp;$CS$3,"eqy fund crncy="&amp;$BJ$4,"scaling format",$BI$8)</f>
        <v>#NAME?</v>
      </c>
      <c r="CU59" s="871">
        <v>6.8630000000000004</v>
      </c>
      <c r="CV59" s="919">
        <v>6.8630000000000004</v>
      </c>
      <c r="CW59" s="919">
        <v>6.8630000000000004</v>
      </c>
      <c r="CX59" s="919">
        <v>6.8630000000000004</v>
      </c>
      <c r="CY59" s="920">
        <f t="shared" si="128"/>
        <v>6.8630000000000004</v>
      </c>
      <c r="CZ59" s="526">
        <f t="shared" si="129"/>
        <v>1.1577553413126176</v>
      </c>
      <c r="DA59" s="871"/>
      <c r="DB59" s="919"/>
      <c r="DC59" s="919"/>
      <c r="DD59" s="919">
        <v>4.8499999999999996</v>
      </c>
      <c r="DE59" s="919">
        <v>13.364000000000001</v>
      </c>
      <c r="DF59" s="919" t="str">
        <f t="shared" si="130"/>
        <v/>
      </c>
      <c r="DG59" s="921">
        <f t="shared" si="131"/>
        <v>8.5140000000000011</v>
      </c>
      <c r="DH59" s="721">
        <f t="shared" si="132"/>
        <v>1.436271160707508E-2</v>
      </c>
      <c r="DI59" s="871">
        <v>81.645700000000005</v>
      </c>
      <c r="DJ59" s="919">
        <f t="shared" si="133"/>
        <v>74.673599999999993</v>
      </c>
      <c r="DK59" s="922">
        <f t="shared" si="134"/>
        <v>81.645700000000005</v>
      </c>
      <c r="DL59" s="380">
        <v>2.17</v>
      </c>
      <c r="DM59" s="3">
        <v>2.3199999999999998</v>
      </c>
      <c r="DN59" s="411">
        <f t="shared" si="135"/>
        <v>2.17</v>
      </c>
      <c r="DO59" s="923">
        <f t="shared" si="136"/>
        <v>2.2406833565528208</v>
      </c>
      <c r="DP59" s="924">
        <f t="shared" si="137"/>
        <v>39.963587443946189</v>
      </c>
      <c r="DQ59" s="925">
        <f t="shared" si="138"/>
        <v>5.2119068126820061</v>
      </c>
      <c r="DR59" s="327"/>
      <c r="DS59" s="8"/>
      <c r="DT59" s="10">
        <f t="shared" si="139"/>
        <v>0</v>
      </c>
      <c r="DU59" s="926">
        <f t="shared" si="140"/>
        <v>0</v>
      </c>
      <c r="DV59" s="927" t="e">
        <f t="array" aca="1" ref="DV59" ca="1">_xll.BDP($BD$1,"bs st operating lease liabs","eqy fund relative period","-0fq","eqy consolidated="&amp;$CS$3,"eqy fund crncy="&amp;$BJ$4,"scaling format",$BI$8)</f>
        <v>#NAME?</v>
      </c>
      <c r="DX59" t="s">
        <v>1000</v>
      </c>
      <c r="DY59" s="2" t="s">
        <v>1</v>
      </c>
      <c r="DZ59" s="695">
        <v>0.17499999999999999</v>
      </c>
    </row>
    <row r="60" spans="1:130" ht="16" customHeight="1">
      <c r="A60" s="831">
        <f t="shared" si="86"/>
        <v>43465</v>
      </c>
      <c r="B60" s="74">
        <v>295.53899999999999</v>
      </c>
      <c r="C60" s="687">
        <v>130</v>
      </c>
      <c r="D60" s="687">
        <v>106.34699999999999</v>
      </c>
      <c r="E60" s="687">
        <v>60.237000000000002</v>
      </c>
      <c r="F60" s="687">
        <f t="shared" si="141"/>
        <v>11.496000000000045</v>
      </c>
      <c r="G60" s="687">
        <f t="shared" si="87"/>
        <v>0</v>
      </c>
      <c r="H60" s="687">
        <v>28.550999999999998</v>
      </c>
      <c r="I60" s="687">
        <v>0</v>
      </c>
      <c r="J60" s="687">
        <f t="shared" si="88"/>
        <v>0</v>
      </c>
      <c r="K60" s="687">
        <v>45.098999999999997</v>
      </c>
      <c r="L60" s="687">
        <v>38.334000000000003</v>
      </c>
      <c r="M60" s="687">
        <f t="shared" si="89"/>
        <v>57.085999999999999</v>
      </c>
      <c r="N60" s="687">
        <v>772.68899999999996</v>
      </c>
      <c r="O60" s="687">
        <f t="shared" si="90"/>
        <v>347.15</v>
      </c>
      <c r="P60" s="687">
        <f t="shared" si="142"/>
        <v>689.25599999999997</v>
      </c>
      <c r="Q60" s="687">
        <f t="shared" si="91"/>
        <v>263.71699999999998</v>
      </c>
      <c r="R60" s="687">
        <f t="shared" si="92"/>
        <v>502.69300000000004</v>
      </c>
      <c r="S60" s="687">
        <f t="shared" si="143"/>
        <v>-11.182999999999893</v>
      </c>
      <c r="T60" s="132">
        <v>33.158000000000001</v>
      </c>
      <c r="U60" s="687">
        <f t="shared" si="93"/>
        <v>63.453999999999994</v>
      </c>
      <c r="V60" s="687">
        <f t="shared" si="94"/>
        <v>4.3140000000000001</v>
      </c>
      <c r="W60" s="687">
        <f t="shared" si="95"/>
        <v>0</v>
      </c>
      <c r="X60" s="687">
        <f t="shared" si="96"/>
        <v>271.82400000000001</v>
      </c>
      <c r="Y60" s="687">
        <f t="shared" si="97"/>
        <v>0</v>
      </c>
      <c r="Z60" s="687">
        <f t="shared" si="98"/>
        <v>27.750999999999976</v>
      </c>
      <c r="AA60" s="687">
        <f t="shared" si="99"/>
        <v>-134.76799999999997</v>
      </c>
      <c r="AB60" s="687">
        <v>125.85899999999999</v>
      </c>
      <c r="AC60" s="687">
        <v>372.18799999999999</v>
      </c>
      <c r="AD60" s="687">
        <f t="shared" si="100"/>
        <v>0</v>
      </c>
      <c r="AE60" s="687">
        <v>372.18799999999999</v>
      </c>
      <c r="AF60" s="687">
        <f t="shared" si="101"/>
        <v>288.755</v>
      </c>
      <c r="AG60" s="811" t="str">
        <f t="shared" ca="1" si="102"/>
        <v/>
      </c>
      <c r="AH60" s="805" t="str">
        <f t="shared" ca="1" si="103"/>
        <v/>
      </c>
      <c r="AI60" s="912" t="str">
        <f t="shared" ca="1" si="104"/>
        <v/>
      </c>
      <c r="AJ60" s="815">
        <f t="shared" si="105"/>
        <v>2.0760717701806612</v>
      </c>
      <c r="AK60" s="75">
        <f t="shared" si="106"/>
        <v>-0.7178591213192993</v>
      </c>
      <c r="AL60" s="805">
        <v>74.193100000000001</v>
      </c>
      <c r="AM60" s="811">
        <f t="shared" si="107"/>
        <v>17.67942681678608</v>
      </c>
      <c r="AN60" s="913">
        <f t="shared" si="108"/>
        <v>-36.209657484926964</v>
      </c>
      <c r="AO60" s="74">
        <f t="shared" si="109"/>
        <v>96.945254042232335</v>
      </c>
      <c r="AP60" s="687">
        <f t="shared" si="110"/>
        <v>73.90045044702012</v>
      </c>
      <c r="AQ60" s="687">
        <f t="shared" si="111"/>
        <v>53.364389553469465</v>
      </c>
      <c r="AR60" s="767">
        <f t="shared" si="112"/>
        <v>117.48131493578299</v>
      </c>
      <c r="AS60" s="928">
        <v>1.1157999999999999</v>
      </c>
      <c r="AU60" s="327">
        <v>83.433000000000007</v>
      </c>
      <c r="AV60" s="915">
        <f t="shared" si="113"/>
        <v>-46.672092258142705</v>
      </c>
      <c r="AW60" s="515">
        <f t="shared" si="114"/>
        <v>95.704380340253152</v>
      </c>
      <c r="AX60" s="915">
        <f t="shared" si="115"/>
        <v>154.88292069714919</v>
      </c>
      <c r="AY60" s="916">
        <v>299.57499999999999</v>
      </c>
      <c r="AZ60" s="917" t="str">
        <f t="shared" ca="1" si="116"/>
        <v/>
      </c>
      <c r="BC60" s="33">
        <v>14.632999999999999</v>
      </c>
      <c r="BD60" s="327">
        <f t="shared" si="117"/>
        <v>77.154000000000039</v>
      </c>
      <c r="BE60" s="8">
        <f t="shared" si="118"/>
        <v>178.08000000000004</v>
      </c>
      <c r="BF60" s="8">
        <v>603.61900000000003</v>
      </c>
      <c r="BG60" s="8">
        <v>140.51900000000001</v>
      </c>
      <c r="BH60" s="328">
        <v>100.926</v>
      </c>
      <c r="BI60" s="327">
        <v>4.3140000000000001</v>
      </c>
      <c r="BJ60" s="8"/>
      <c r="BK60" s="8">
        <f t="shared" si="119"/>
        <v>4.3140000000000001</v>
      </c>
      <c r="BL60" s="8">
        <v>271.82400000000001</v>
      </c>
      <c r="BM60" s="8"/>
      <c r="BN60" s="328">
        <f t="shared" si="120"/>
        <v>271.82400000000001</v>
      </c>
      <c r="BO60" s="327">
        <v>18.687999999999999</v>
      </c>
      <c r="BP60" s="8">
        <v>19.431999999999999</v>
      </c>
      <c r="BQ60" s="8">
        <f t="shared" si="121"/>
        <v>-0.74399999999999977</v>
      </c>
      <c r="BR60" s="328">
        <f t="shared" si="122"/>
        <v>-3.981164383561643</v>
      </c>
      <c r="BS60" s="327" t="e">
        <f t="array" aca="1" ref="BS60" ca="1">_xll.BDP($BD$1,"bs acct note rcv","eqy fund relative period","-0fs","eqy consolidated="&amp;$CS$3,"eqy fund crncy="&amp;$BJ$4,"scaling format",$BI$8)</f>
        <v>#NAME?</v>
      </c>
      <c r="BT60" s="8" t="e">
        <f t="array" aca="1" ref="BT60" ca="1">_xll.BDP($BD$1,"bs goodwill","eqy fund relative period","-0fs","eqy consolidated="&amp;$CS$3,"eqy fund crncy="&amp;$BJ$4,"scaling format",$BI$8)</f>
        <v>#NAME?</v>
      </c>
      <c r="BU60" s="8" t="e">
        <f t="array" aca="1" ref="BU60" ca="1">_xll.BDP($BD$1,"bs acct payable","eqy fund relative period","-0fs","eqy consolidated="&amp;$CS$3,"eqy fund crncy="&amp;$BJ$4,"scaling format",$BI$8)</f>
        <v>#NAME?</v>
      </c>
      <c r="BV60" s="8" t="e">
        <f t="array" aca="1" ref="BV60" ca="1">_xll.BDP($BD$1,"total equity","eqy fund relative period","-0fs","eqy consolidated="&amp;$CS$3,"eqy fund crncy="&amp;$BJ$4,"scaling format",$BI$8)</f>
        <v>#NAME?</v>
      </c>
      <c r="BW60" s="8" t="e">
        <f t="array" aca="1" ref="BW60" ca="1">_xll.BDP($BD$1,"bs other asset def chng other","eqy fund relative period","-0fs","eqy consolidated="&amp;$CS$3,"eqy fund crncy="&amp;$BJ$4,"scaling format",$BI$8)</f>
        <v>#NAME?</v>
      </c>
      <c r="BX60" s="328" t="e">
        <f t="array" aca="1" ref="BX60" ca="1">_xll.BDP($BD$1,"pension liabilities","eqy fund relative period","-0fs","eqy consolidated="&amp;$CS$3,"eqy fund crncy="&amp;$BJ$4,"scaling format",$BI$8)</f>
        <v>#NAME?</v>
      </c>
      <c r="BY60" s="33">
        <f t="shared" si="123"/>
        <v>6.1974110986961106</v>
      </c>
      <c r="BZ60" s="820"/>
      <c r="CA60" s="821"/>
      <c r="CB60" s="821"/>
      <c r="CC60" s="823" t="str">
        <f t="shared" si="124"/>
        <v/>
      </c>
      <c r="CD60" s="821">
        <v>10.372999999999999</v>
      </c>
      <c r="CE60" s="821"/>
      <c r="CF60" s="821"/>
      <c r="CG60" s="823">
        <f t="shared" si="125"/>
        <v>10.372999999999999</v>
      </c>
      <c r="CH60" s="48"/>
      <c r="CI60" s="48"/>
      <c r="CJ60" s="48"/>
      <c r="CK60" s="48"/>
      <c r="CL60" s="48">
        <v>1.371</v>
      </c>
      <c r="CM60" s="48"/>
      <c r="CN60" s="48"/>
      <c r="CO60" s="349">
        <f t="shared" si="126"/>
        <v>1.371</v>
      </c>
      <c r="CP60" s="48"/>
      <c r="CQ60" s="48"/>
      <c r="CR60" s="48"/>
      <c r="CS60" s="918">
        <f t="shared" si="127"/>
        <v>0</v>
      </c>
      <c r="CT60" s="832" t="e">
        <f t="array" aca="1" ref="CT60" ca="1">_xll.BDP($BD$1,"ardr investment in affiliate jv","eqy fund relative period","-0fs","eqy consolidated="&amp;$CS$3,"eqy fund crncy="&amp;$BJ$4,"scaling format",$BI$8)</f>
        <v>#NAME?</v>
      </c>
      <c r="CU60" s="871">
        <v>9.9909999999999997</v>
      </c>
      <c r="CV60" s="919">
        <v>9.9909999999999997</v>
      </c>
      <c r="CW60" s="919">
        <v>9.9909999999999997</v>
      </c>
      <c r="CX60" s="919">
        <v>9.9909999999999997</v>
      </c>
      <c r="CY60" s="920">
        <f t="shared" si="128"/>
        <v>9.9909999999999997</v>
      </c>
      <c r="CZ60" s="526">
        <f t="shared" si="129"/>
        <v>1.9021201090515865</v>
      </c>
      <c r="DA60" s="871"/>
      <c r="DB60" s="919"/>
      <c r="DC60" s="919"/>
      <c r="DD60" s="919">
        <v>5.4610000000000003</v>
      </c>
      <c r="DE60" s="919">
        <v>15.007999999999999</v>
      </c>
      <c r="DF60" s="919" t="str">
        <f t="shared" si="130"/>
        <v/>
      </c>
      <c r="DG60" s="921">
        <f t="shared" si="131"/>
        <v>9.5469999999999988</v>
      </c>
      <c r="DH60" s="721">
        <f t="shared" si="132"/>
        <v>1.817589899020668E-2</v>
      </c>
      <c r="DI60" s="871">
        <v>84.754099999999994</v>
      </c>
      <c r="DJ60" s="919">
        <f t="shared" si="133"/>
        <v>74.440899999999999</v>
      </c>
      <c r="DK60" s="922">
        <f t="shared" si="134"/>
        <v>84.754099999999994</v>
      </c>
      <c r="DL60" s="380">
        <v>1.68</v>
      </c>
      <c r="DM60" s="3">
        <v>1.83</v>
      </c>
      <c r="DN60" s="411">
        <f t="shared" si="135"/>
        <v>1.68</v>
      </c>
      <c r="DO60" s="923">
        <f t="shared" si="136"/>
        <v>2.3869924330314625</v>
      </c>
      <c r="DP60" s="924">
        <f t="shared" si="137"/>
        <v>19.21555783009212</v>
      </c>
      <c r="DQ60" s="925">
        <f t="shared" si="138"/>
        <v>5.9808077205080954</v>
      </c>
      <c r="DR60" s="327"/>
      <c r="DS60" s="8"/>
      <c r="DT60" s="10">
        <f t="shared" si="139"/>
        <v>0</v>
      </c>
      <c r="DU60" s="926">
        <f t="shared" si="140"/>
        <v>0</v>
      </c>
      <c r="DV60" s="927" t="e">
        <f t="array" aca="1" ref="DV60" ca="1">_xll.BDP($BD$1,"bs st operating lease liabs","eqy fund relative period","-0fs","eqy consolidated="&amp;$CS$3,"eqy fund crncy="&amp;$BJ$4,"scaling format",$BI$8)</f>
        <v>#NAME?</v>
      </c>
      <c r="DX60" t="s">
        <v>1001</v>
      </c>
      <c r="DY60" s="2" t="s">
        <v>1002</v>
      </c>
      <c r="DZ60" s="695">
        <v>6.8000000000000005E-2</v>
      </c>
    </row>
    <row r="61" spans="1:130" ht="16" customHeight="1">
      <c r="A61" s="831">
        <f t="shared" si="86"/>
        <v>43830</v>
      </c>
      <c r="B61" s="74">
        <v>278.39800000000002</v>
      </c>
      <c r="C61" s="687">
        <v>130</v>
      </c>
      <c r="D61" s="687">
        <v>81.42</v>
      </c>
      <c r="E61" s="687">
        <v>46.578000000000003</v>
      </c>
      <c r="F61" s="687">
        <f t="shared" si="141"/>
        <v>13.853999999999971</v>
      </c>
      <c r="G61" s="687">
        <f t="shared" si="87"/>
        <v>0</v>
      </c>
      <c r="H61" s="687">
        <v>41.515000000000001</v>
      </c>
      <c r="I61" s="687">
        <v>0</v>
      </c>
      <c r="J61" s="687">
        <f t="shared" si="88"/>
        <v>0</v>
      </c>
      <c r="K61" s="687">
        <v>45.289000000000001</v>
      </c>
      <c r="L61" s="687">
        <v>42.593000000000004</v>
      </c>
      <c r="M61" s="687">
        <f t="shared" si="89"/>
        <v>17.23299999999999</v>
      </c>
      <c r="N61" s="687">
        <v>696.88</v>
      </c>
      <c r="O61" s="687">
        <f t="shared" si="90"/>
        <v>288.48199999999997</v>
      </c>
      <c r="P61" s="687">
        <f t="shared" si="142"/>
        <v>608.99800000000005</v>
      </c>
      <c r="Q61" s="687">
        <f t="shared" si="91"/>
        <v>200.59999999999997</v>
      </c>
      <c r="R61" s="687">
        <f t="shared" si="92"/>
        <v>463.62200000000001</v>
      </c>
      <c r="S61" s="687">
        <f t="shared" si="143"/>
        <v>-21.930000000000064</v>
      </c>
      <c r="T61" s="132">
        <v>30.277999999999999</v>
      </c>
      <c r="U61" s="687">
        <f t="shared" si="93"/>
        <v>52.059000000000005</v>
      </c>
      <c r="V61" s="687">
        <f t="shared" si="94"/>
        <v>4.2910000000000004</v>
      </c>
      <c r="W61" s="687">
        <f t="shared" si="95"/>
        <v>0</v>
      </c>
      <c r="X61" s="687">
        <f t="shared" si="96"/>
        <v>284.92599999999999</v>
      </c>
      <c r="Y61" s="687">
        <f t="shared" si="97"/>
        <v>0</v>
      </c>
      <c r="Z61" s="687">
        <f t="shared" si="98"/>
        <v>26.81800000000004</v>
      </c>
      <c r="AA61" s="687">
        <f t="shared" si="99"/>
        <v>-102.53800000000001</v>
      </c>
      <c r="AB61" s="687">
        <v>77.417000000000002</v>
      </c>
      <c r="AC61" s="687">
        <v>298.50799999999998</v>
      </c>
      <c r="AD61" s="687">
        <f t="shared" si="100"/>
        <v>0</v>
      </c>
      <c r="AE61" s="687">
        <v>298.50799999999998</v>
      </c>
      <c r="AF61" s="687">
        <f t="shared" si="101"/>
        <v>210.62599999999998</v>
      </c>
      <c r="AG61" s="811" t="str">
        <f t="shared" ca="1" si="102"/>
        <v/>
      </c>
      <c r="AH61" s="805" t="str">
        <f t="shared" ca="1" si="103"/>
        <v/>
      </c>
      <c r="AI61" s="912" t="str">
        <f t="shared" ca="1" si="104"/>
        <v/>
      </c>
      <c r="AJ61" s="815">
        <f t="shared" si="105"/>
        <v>2.3345437978211638</v>
      </c>
      <c r="AK61" s="75">
        <f t="shared" si="106"/>
        <v>-0.91759884022694338</v>
      </c>
      <c r="AL61" s="805">
        <v>96.887500000000003</v>
      </c>
      <c r="AM61" s="811">
        <f t="shared" si="107"/>
        <v>9.0304548580410646</v>
      </c>
      <c r="AN61" s="913">
        <f t="shared" si="108"/>
        <v>-34.350168169697298</v>
      </c>
      <c r="AO61" s="74">
        <f t="shared" si="109"/>
        <v>108.01879419781561</v>
      </c>
      <c r="AP61" s="687">
        <f t="shared" si="110"/>
        <v>83.432670306994765</v>
      </c>
      <c r="AQ61" s="687">
        <f t="shared" si="111"/>
        <v>70.21755014645241</v>
      </c>
      <c r="AR61" s="767">
        <f t="shared" si="112"/>
        <v>121.23391435835795</v>
      </c>
      <c r="AS61" s="928">
        <v>1.0820000000000001</v>
      </c>
      <c r="AU61" s="327">
        <v>87.882000000000005</v>
      </c>
      <c r="AV61" s="915">
        <f t="shared" si="113"/>
        <v>-48.682498836800789</v>
      </c>
      <c r="AW61" s="515">
        <f t="shared" si="114"/>
        <v>130.15960358792236</v>
      </c>
      <c r="AX61" s="915">
        <f t="shared" si="115"/>
        <v>273.71002094034685</v>
      </c>
      <c r="AY61" s="916">
        <v>311.74400000000003</v>
      </c>
      <c r="AZ61" s="917" t="str">
        <f t="shared" ca="1" si="116"/>
        <v/>
      </c>
      <c r="BC61" s="33">
        <v>16.643000000000001</v>
      </c>
      <c r="BD61" s="327">
        <f t="shared" si="117"/>
        <v>55.223999999999975</v>
      </c>
      <c r="BE61" s="8">
        <f t="shared" si="118"/>
        <v>141.85199999999998</v>
      </c>
      <c r="BF61" s="8">
        <v>550.25</v>
      </c>
      <c r="BG61" s="8">
        <v>105.11499999999999</v>
      </c>
      <c r="BH61" s="328">
        <v>86.628</v>
      </c>
      <c r="BI61" s="327">
        <v>4.2910000000000004</v>
      </c>
      <c r="BJ61" s="8"/>
      <c r="BK61" s="8">
        <f t="shared" si="119"/>
        <v>4.2910000000000004</v>
      </c>
      <c r="BL61" s="8">
        <v>284.92599999999999</v>
      </c>
      <c r="BM61" s="8"/>
      <c r="BN61" s="328">
        <f t="shared" si="120"/>
        <v>284.92599999999999</v>
      </c>
      <c r="BO61" s="327">
        <v>-3.1829999999999998</v>
      </c>
      <c r="BP61" s="8">
        <v>16.359000000000002</v>
      </c>
      <c r="BQ61" s="8">
        <f t="shared" si="121"/>
        <v>-19.542000000000002</v>
      </c>
      <c r="BR61" s="328">
        <f t="shared" si="122"/>
        <v>613.94910461828476</v>
      </c>
      <c r="BS61" s="338"/>
      <c r="BX61" s="765"/>
      <c r="BY61" s="33">
        <f t="shared" si="123"/>
        <v>4.2837745851463263</v>
      </c>
      <c r="BZ61" s="820"/>
      <c r="CA61" s="821"/>
      <c r="CB61" s="821"/>
      <c r="CC61" s="823" t="str">
        <f t="shared" si="124"/>
        <v/>
      </c>
      <c r="CD61" s="821">
        <v>8.3640000000000008</v>
      </c>
      <c r="CE61" s="821"/>
      <c r="CF61" s="821"/>
      <c r="CG61" s="823">
        <f t="shared" si="125"/>
        <v>8.3640000000000008</v>
      </c>
      <c r="CH61" s="48"/>
      <c r="CI61" s="48"/>
      <c r="CJ61" s="48"/>
      <c r="CK61" s="48"/>
      <c r="CL61" s="48">
        <v>1.484</v>
      </c>
      <c r="CM61" s="48"/>
      <c r="CN61" s="48"/>
      <c r="CO61" s="349">
        <f t="shared" si="126"/>
        <v>1.484</v>
      </c>
      <c r="CP61" s="48"/>
      <c r="CQ61" s="48"/>
      <c r="CR61" s="48"/>
      <c r="CS61" s="918">
        <f t="shared" si="127"/>
        <v>0</v>
      </c>
      <c r="CT61" s="832" t="str">
        <f ca="1">IF(ISNUMBER(CT59),CT59,IF(ISNUMBER(CT60),CT60,""))</f>
        <v/>
      </c>
      <c r="CU61" s="871">
        <v>7.2889999999999997</v>
      </c>
      <c r="CV61" s="919">
        <v>7.2889999999999997</v>
      </c>
      <c r="CW61" s="919">
        <v>7.2889999999999997</v>
      </c>
      <c r="CX61" s="919">
        <v>7.2889999999999997</v>
      </c>
      <c r="CY61" s="920">
        <f t="shared" si="128"/>
        <v>7.2889999999999997</v>
      </c>
      <c r="CZ61" s="526">
        <f t="shared" si="129"/>
        <v>2.0463510155953899</v>
      </c>
      <c r="DA61" s="871"/>
      <c r="DB61" s="919"/>
      <c r="DC61" s="919"/>
      <c r="DD61" s="919">
        <v>8.9290000000000003</v>
      </c>
      <c r="DE61" s="919">
        <v>19.824999999999999</v>
      </c>
      <c r="DF61" s="919" t="str">
        <f t="shared" si="130"/>
        <v/>
      </c>
      <c r="DG61" s="921">
        <f t="shared" si="131"/>
        <v>10.895999999999999</v>
      </c>
      <c r="DH61" s="721">
        <f t="shared" si="132"/>
        <v>3.0589985822372576E-2</v>
      </c>
      <c r="DI61" s="871">
        <v>83.149799999999999</v>
      </c>
      <c r="DJ61" s="919">
        <f t="shared" si="133"/>
        <v>72.796700000000001</v>
      </c>
      <c r="DK61" s="922">
        <f t="shared" si="134"/>
        <v>83.149799999999999</v>
      </c>
      <c r="DL61" s="380">
        <v>1.06</v>
      </c>
      <c r="DM61" s="3">
        <v>1.1200000000000001</v>
      </c>
      <c r="DN61" s="411">
        <f t="shared" si="135"/>
        <v>1.06</v>
      </c>
      <c r="DO61" s="923">
        <f t="shared" si="136"/>
        <v>2.8913714356252318</v>
      </c>
      <c r="DP61" s="924">
        <f t="shared" si="137"/>
        <v>10.978092150505942</v>
      </c>
      <c r="DQ61" s="925">
        <f t="shared" si="138"/>
        <v>6.3518723738283231</v>
      </c>
      <c r="DR61" s="327"/>
      <c r="DS61" s="8"/>
      <c r="DT61" s="10">
        <f t="shared" si="139"/>
        <v>0</v>
      </c>
      <c r="DU61" s="926">
        <f t="shared" si="140"/>
        <v>0</v>
      </c>
      <c r="DV61" s="927">
        <f ca="1">IF(ISNUMBER(DV59),DV59,IF(ISNUMBER(DV60),DV60,0))</f>
        <v>0</v>
      </c>
      <c r="DX61" t="s">
        <v>1003</v>
      </c>
      <c r="DY61" s="2" t="s">
        <v>1004</v>
      </c>
      <c r="DZ61" s="695">
        <v>0.3</v>
      </c>
    </row>
    <row r="62" spans="1:130" ht="16" customHeight="1">
      <c r="A62" s="831">
        <f t="shared" si="86"/>
        <v>44196</v>
      </c>
      <c r="B62" s="74">
        <v>598.70500000000004</v>
      </c>
      <c r="C62" s="687">
        <v>0</v>
      </c>
      <c r="D62" s="687">
        <v>93.218000000000004</v>
      </c>
      <c r="E62" s="687">
        <v>51.645000000000003</v>
      </c>
      <c r="F62" s="687">
        <f t="shared" si="141"/>
        <v>11.963999999999992</v>
      </c>
      <c r="G62" s="687">
        <f t="shared" si="87"/>
        <v>0</v>
      </c>
      <c r="H62" s="687">
        <v>37.713000000000001</v>
      </c>
      <c r="I62" s="687">
        <v>0</v>
      </c>
      <c r="J62" s="687">
        <f t="shared" si="88"/>
        <v>0</v>
      </c>
      <c r="K62" s="687">
        <v>44.484000000000002</v>
      </c>
      <c r="L62" s="687">
        <v>50.66</v>
      </c>
      <c r="M62" s="687">
        <f t="shared" si="89"/>
        <v>22.966999999999999</v>
      </c>
      <c r="N62" s="687">
        <v>911.35599999999999</v>
      </c>
      <c r="O62" s="687">
        <f t="shared" si="90"/>
        <v>312.65099999999995</v>
      </c>
      <c r="P62" s="687">
        <f t="shared" si="142"/>
        <v>816.21199999999999</v>
      </c>
      <c r="Q62" s="687">
        <f t="shared" si="91"/>
        <v>217.50699999999995</v>
      </c>
      <c r="R62" s="687">
        <f t="shared" si="92"/>
        <v>654.04600000000005</v>
      </c>
      <c r="S62" s="687">
        <f t="shared" si="143"/>
        <v>0.11700000000001864</v>
      </c>
      <c r="T62" s="132">
        <v>44.017000000000003</v>
      </c>
      <c r="U62" s="687">
        <f t="shared" si="93"/>
        <v>54.493000000000002</v>
      </c>
      <c r="V62" s="687">
        <f t="shared" si="94"/>
        <v>2.976</v>
      </c>
      <c r="W62" s="687">
        <f t="shared" si="95"/>
        <v>0</v>
      </c>
      <c r="X62" s="687">
        <f t="shared" si="96"/>
        <v>406.90800000000002</v>
      </c>
      <c r="Y62" s="687">
        <f t="shared" si="97"/>
        <v>0</v>
      </c>
      <c r="Z62" s="687">
        <f t="shared" si="98"/>
        <v>31.734999999999957</v>
      </c>
      <c r="AA62" s="687">
        <f t="shared" si="99"/>
        <v>-177.923</v>
      </c>
      <c r="AB62" s="687">
        <v>127.425</v>
      </c>
      <c r="AC62" s="687">
        <v>371.22699999999998</v>
      </c>
      <c r="AD62" s="687">
        <f t="shared" si="100"/>
        <v>0</v>
      </c>
      <c r="AE62" s="687">
        <v>371.22699999999998</v>
      </c>
      <c r="AF62" s="687">
        <f t="shared" si="101"/>
        <v>276.08299999999997</v>
      </c>
      <c r="AG62" s="811" t="str">
        <f t="shared" ca="1" si="102"/>
        <v/>
      </c>
      <c r="AH62" s="805" t="str">
        <f t="shared" ca="1" si="103"/>
        <v/>
      </c>
      <c r="AI62" s="912" t="str">
        <f t="shared" ca="1" si="104"/>
        <v/>
      </c>
      <c r="AJ62" s="815">
        <f t="shared" si="105"/>
        <v>2.4549830696581876</v>
      </c>
      <c r="AK62" s="75">
        <f t="shared" si="106"/>
        <v>-1.0525745994935991</v>
      </c>
      <c r="AL62" s="805">
        <v>110.41330000000001</v>
      </c>
      <c r="AM62" s="811">
        <f t="shared" si="107"/>
        <v>12.624041782495157</v>
      </c>
      <c r="AN62" s="913">
        <f t="shared" si="108"/>
        <v>-47.928356504241343</v>
      </c>
      <c r="AO62" s="74">
        <f t="shared" si="109"/>
        <v>107.68225596380587</v>
      </c>
      <c r="AP62" s="687">
        <f t="shared" si="110"/>
        <v>78.465787100776495</v>
      </c>
      <c r="AQ62" s="687">
        <f t="shared" si="111"/>
        <v>91.777516908874887</v>
      </c>
      <c r="AR62" s="767">
        <f t="shared" si="112"/>
        <v>94.370526155707481</v>
      </c>
      <c r="AS62" s="928">
        <v>1.2152000000000001</v>
      </c>
      <c r="AU62" s="327">
        <v>95.144000000000005</v>
      </c>
      <c r="AV62" s="915">
        <f t="shared" si="113"/>
        <v>-64.445474730425275</v>
      </c>
      <c r="AW62" s="515">
        <f t="shared" si="114"/>
        <v>150.83286633780958</v>
      </c>
      <c r="AX62" s="915">
        <f t="shared" si="115"/>
        <v>248.9304053574387</v>
      </c>
      <c r="AY62" s="916">
        <v>438.64299999999997</v>
      </c>
      <c r="AZ62" s="917" t="str">
        <f t="shared" ca="1" si="116"/>
        <v/>
      </c>
      <c r="BC62" s="33">
        <v>10.898</v>
      </c>
      <c r="BD62" s="327">
        <f t="shared" si="117"/>
        <v>55.340999999999994</v>
      </c>
      <c r="BE62" s="8">
        <f t="shared" si="118"/>
        <v>156.827</v>
      </c>
      <c r="BF62" s="8">
        <v>755.53200000000004</v>
      </c>
      <c r="BG62" s="8">
        <v>118.111</v>
      </c>
      <c r="BH62" s="328">
        <v>101.486</v>
      </c>
      <c r="BI62" s="327">
        <v>2.976</v>
      </c>
      <c r="BJ62" s="8"/>
      <c r="BK62" s="8">
        <f t="shared" si="119"/>
        <v>2.976</v>
      </c>
      <c r="BL62" s="8">
        <v>406.90800000000002</v>
      </c>
      <c r="BM62" s="8"/>
      <c r="BN62" s="328">
        <f t="shared" si="120"/>
        <v>406.90800000000002</v>
      </c>
      <c r="BO62" s="327">
        <v>5.242</v>
      </c>
      <c r="BP62" s="8">
        <v>11.08</v>
      </c>
      <c r="BQ62" s="8">
        <f t="shared" si="121"/>
        <v>-5.8380000000000001</v>
      </c>
      <c r="BR62" s="328">
        <f t="shared" si="122"/>
        <v>-111.36970621900038</v>
      </c>
      <c r="BS62" s="339" t="s">
        <v>864</v>
      </c>
      <c r="BT62" s="2" t="s">
        <v>632</v>
      </c>
      <c r="BU62" s="2" t="s">
        <v>881</v>
      </c>
      <c r="BV62" s="2" t="s">
        <v>1005</v>
      </c>
      <c r="BW62" s="2" t="s">
        <v>903</v>
      </c>
      <c r="BX62" s="765"/>
      <c r="BY62" s="33">
        <f t="shared" si="123"/>
        <v>5.1761418302229592</v>
      </c>
      <c r="BZ62" s="820"/>
      <c r="CA62" s="821"/>
      <c r="CB62" s="821"/>
      <c r="CC62" s="823" t="str">
        <f t="shared" si="124"/>
        <v/>
      </c>
      <c r="CD62" s="821">
        <v>5.7160000000000002</v>
      </c>
      <c r="CE62" s="821"/>
      <c r="CF62" s="821"/>
      <c r="CG62" s="823">
        <f t="shared" si="125"/>
        <v>5.7160000000000002</v>
      </c>
      <c r="CH62" s="48"/>
      <c r="CI62" s="48"/>
      <c r="CJ62" s="48"/>
      <c r="CK62" s="48"/>
      <c r="CL62" s="48">
        <v>0.97899999999999998</v>
      </c>
      <c r="CM62" s="48"/>
      <c r="CN62" s="48"/>
      <c r="CO62" s="349">
        <f t="shared" si="126"/>
        <v>0.97899999999999998</v>
      </c>
      <c r="CP62" s="48"/>
      <c r="CQ62" s="48"/>
      <c r="CR62" s="48"/>
      <c r="CS62" s="918">
        <f t="shared" si="127"/>
        <v>0</v>
      </c>
      <c r="CT62" s="832"/>
      <c r="CU62" s="871">
        <v>10.47</v>
      </c>
      <c r="CV62" s="919">
        <v>10.47</v>
      </c>
      <c r="CW62" s="919">
        <v>10.47</v>
      </c>
      <c r="CX62" s="919">
        <v>10.47</v>
      </c>
      <c r="CY62" s="920">
        <f t="shared" si="128"/>
        <v>10.47</v>
      </c>
      <c r="CZ62" s="526">
        <f t="shared" si="129"/>
        <v>2.4145398191516598</v>
      </c>
      <c r="DA62" s="871"/>
      <c r="DB62" s="919"/>
      <c r="DC62" s="919">
        <v>1.4999999999999999E-2</v>
      </c>
      <c r="DD62" s="919">
        <v>9.4060000000000006</v>
      </c>
      <c r="DE62" s="919">
        <v>19.175999999999998</v>
      </c>
      <c r="DF62" s="919">
        <f t="shared" si="130"/>
        <v>19.160999999999998</v>
      </c>
      <c r="DG62" s="921">
        <f t="shared" si="131"/>
        <v>1.4999999999999999E-2</v>
      </c>
      <c r="DH62" s="721">
        <f t="shared" si="132"/>
        <v>3.4592261019364749E-5</v>
      </c>
      <c r="DI62" s="871">
        <v>83.773399999999995</v>
      </c>
      <c r="DJ62" s="919">
        <f t="shared" si="133"/>
        <v>72.501400000000004</v>
      </c>
      <c r="DK62" s="922">
        <f t="shared" si="134"/>
        <v>83.773399999999995</v>
      </c>
      <c r="DL62" s="380">
        <v>1.67</v>
      </c>
      <c r="DM62" s="3">
        <v>1.82</v>
      </c>
      <c r="DN62" s="411">
        <f t="shared" si="135"/>
        <v>1.67</v>
      </c>
      <c r="DO62" s="923">
        <f t="shared" si="136"/>
        <v>2.9564007925152946</v>
      </c>
      <c r="DP62" s="924">
        <f t="shared" si="137"/>
        <v>14.239406958133266</v>
      </c>
      <c r="DQ62" s="925">
        <f t="shared" si="138"/>
        <v>7.4446918786827743</v>
      </c>
      <c r="DR62" s="327"/>
      <c r="DS62" s="8"/>
      <c r="DT62" s="10">
        <f t="shared" si="139"/>
        <v>0</v>
      </c>
      <c r="DU62" s="926">
        <f t="shared" si="140"/>
        <v>0</v>
      </c>
      <c r="DV62" s="927"/>
      <c r="DX62" t="s">
        <v>1006</v>
      </c>
      <c r="DY62" s="2" t="s">
        <v>1007</v>
      </c>
      <c r="DZ62" s="695">
        <v>0.15</v>
      </c>
    </row>
    <row r="63" spans="1:130" ht="16" customHeight="1">
      <c r="A63" s="831">
        <f t="shared" si="86"/>
        <v>44561</v>
      </c>
      <c r="B63" s="74">
        <v>647.18399999999997</v>
      </c>
      <c r="C63" s="687">
        <v>0</v>
      </c>
      <c r="D63" s="687">
        <v>174.94200000000001</v>
      </c>
      <c r="E63" s="687">
        <v>94.399000000000001</v>
      </c>
      <c r="F63" s="687">
        <f t="shared" si="141"/>
        <v>19.623000000000047</v>
      </c>
      <c r="G63" s="687">
        <f t="shared" si="87"/>
        <v>0</v>
      </c>
      <c r="H63" s="687">
        <v>40.49</v>
      </c>
      <c r="I63" s="687">
        <v>0</v>
      </c>
      <c r="J63" s="687">
        <f t="shared" si="88"/>
        <v>0</v>
      </c>
      <c r="K63" s="687">
        <v>45.17</v>
      </c>
      <c r="L63" s="687">
        <v>68.745999999999995</v>
      </c>
      <c r="M63" s="687">
        <f t="shared" si="89"/>
        <v>53.486999999999995</v>
      </c>
      <c r="N63" s="687">
        <v>1144.0409999999999</v>
      </c>
      <c r="O63" s="687">
        <f t="shared" si="90"/>
        <v>496.85699999999997</v>
      </c>
      <c r="P63" s="687">
        <f t="shared" si="142"/>
        <v>1030.125</v>
      </c>
      <c r="Q63" s="687">
        <f t="shared" si="91"/>
        <v>382.94099999999997</v>
      </c>
      <c r="R63" s="687">
        <f t="shared" si="92"/>
        <v>748.57</v>
      </c>
      <c r="S63" s="687">
        <f t="shared" si="143"/>
        <v>46.045000000000059</v>
      </c>
      <c r="T63" s="132">
        <v>74.710999999999999</v>
      </c>
      <c r="U63" s="687">
        <f t="shared" si="93"/>
        <v>109.39200000000001</v>
      </c>
      <c r="V63" s="687">
        <f t="shared" si="94"/>
        <v>3.4750000000000001</v>
      </c>
      <c r="W63" s="687">
        <f t="shared" si="95"/>
        <v>0</v>
      </c>
      <c r="X63" s="687">
        <f t="shared" si="96"/>
        <v>309</v>
      </c>
      <c r="Y63" s="687">
        <f t="shared" si="97"/>
        <v>0</v>
      </c>
      <c r="Z63" s="687">
        <f t="shared" si="98"/>
        <v>28.189000000000021</v>
      </c>
      <c r="AA63" s="687">
        <f t="shared" si="99"/>
        <v>-325.54299999999995</v>
      </c>
      <c r="AB63" s="687">
        <v>261.21100000000001</v>
      </c>
      <c r="AC63" s="687">
        <v>619.274</v>
      </c>
      <c r="AD63" s="687">
        <f t="shared" si="100"/>
        <v>0</v>
      </c>
      <c r="AE63" s="687">
        <v>619.274</v>
      </c>
      <c r="AF63" s="687">
        <f t="shared" si="101"/>
        <v>505.358</v>
      </c>
      <c r="AG63" s="811" t="str">
        <f t="shared" ca="1" si="102"/>
        <v/>
      </c>
      <c r="AH63" s="805" t="str">
        <f t="shared" ca="1" si="103"/>
        <v/>
      </c>
      <c r="AI63" s="912" t="str">
        <f t="shared" ca="1" si="104"/>
        <v/>
      </c>
      <c r="AJ63" s="815">
        <f t="shared" si="105"/>
        <v>1.8473906542176806</v>
      </c>
      <c r="AK63" s="75">
        <f t="shared" si="106"/>
        <v>-0.97134391774355722</v>
      </c>
      <c r="AL63" s="805">
        <v>50.458300000000001</v>
      </c>
      <c r="AM63" s="811">
        <f t="shared" si="107"/>
        <v>28.971264367816094</v>
      </c>
      <c r="AN63" s="913">
        <f t="shared" si="108"/>
        <v>-52.568491491649894</v>
      </c>
      <c r="AO63" s="74">
        <f t="shared" si="109"/>
        <v>113.91233986279856</v>
      </c>
      <c r="AP63" s="687">
        <f t="shared" si="110"/>
        <v>85.218317970043927</v>
      </c>
      <c r="AQ63" s="687">
        <f t="shared" si="111"/>
        <v>90.154607818827998</v>
      </c>
      <c r="AR63" s="767">
        <f t="shared" si="112"/>
        <v>108.97605001401448</v>
      </c>
      <c r="AS63" s="928">
        <v>1.0549999999999999</v>
      </c>
      <c r="AU63" s="327">
        <v>113.916</v>
      </c>
      <c r="AV63" s="915">
        <f t="shared" si="113"/>
        <v>-64.418293566145181</v>
      </c>
      <c r="AW63" s="515">
        <f t="shared" si="114"/>
        <v>99.90297572257731</v>
      </c>
      <c r="AX63" s="915">
        <f t="shared" si="115"/>
        <v>95.970126541487772</v>
      </c>
      <c r="AY63" s="916">
        <v>337.18900000000002</v>
      </c>
      <c r="AZ63" s="917" t="str">
        <f t="shared" ca="1" si="116"/>
        <v/>
      </c>
      <c r="BC63" s="33">
        <v>9.1660000000000004</v>
      </c>
      <c r="BD63" s="327">
        <f t="shared" si="117"/>
        <v>101.38600000000005</v>
      </c>
      <c r="BE63" s="8">
        <f t="shared" si="118"/>
        <v>288.96400000000006</v>
      </c>
      <c r="BF63" s="8">
        <v>936.14800000000002</v>
      </c>
      <c r="BG63" s="8">
        <v>167.40299999999999</v>
      </c>
      <c r="BH63" s="328">
        <v>187.578</v>
      </c>
      <c r="BI63" s="327">
        <v>3.4750000000000001</v>
      </c>
      <c r="BJ63" s="8"/>
      <c r="BK63" s="8">
        <f t="shared" si="119"/>
        <v>3.4750000000000001</v>
      </c>
      <c r="BL63" s="8">
        <v>309</v>
      </c>
      <c r="BM63" s="8"/>
      <c r="BN63" s="328">
        <f t="shared" si="120"/>
        <v>309</v>
      </c>
      <c r="BO63" s="327">
        <v>21.420999999999999</v>
      </c>
      <c r="BP63" s="8">
        <v>9.6509999999999998</v>
      </c>
      <c r="BQ63" s="8">
        <f t="shared" si="121"/>
        <v>11.77</v>
      </c>
      <c r="BR63" s="328">
        <f t="shared" si="122"/>
        <v>54.946080948601839</v>
      </c>
      <c r="BS63" s="327" t="e">
        <f t="array" aca="1" ref="BS63" ca="1">_xll.BDP($BD$1,"bs inventories","eqy fund relative period","-0fq","eqy consolidated="&amp;$CS$3,"eqy fund crncy="&amp;$BJ$4,"scaling format",$BI$8)</f>
        <v>#NAME?</v>
      </c>
      <c r="BT63" s="8" t="e">
        <f t="array" aca="1" ref="BT63" ca="1">_xll.BDP($BD$1,"bs other intangible assets","eqy fund relative period","-0fq","eqy consolidated="&amp;$CS$3,"eqy fund crncy="&amp;$BJ$4,"scaling format",$BI$8)</f>
        <v>#NAME?</v>
      </c>
      <c r="BU63" s="8" t="e">
        <f t="array" aca="1" ref="BU63" ca="1">_xll.BDP($BD$1,"bs st borrow","eqy fund relative period","-0fq","eqy consolidated="&amp;$CS$3,"eqy fund crncy="&amp;$BJ$4,"scaling format",$BI$8)</f>
        <v>#NAME?</v>
      </c>
      <c r="BV63" s="8" t="e">
        <f t="array" aca="1" ref="BV63" ca="1">_xll.BDP($BD$1,"minority noncontrolling interest","eqy fund relative period","-0fq","eqy consolidated="&amp;$CS$3,"eqy fund crncy="&amp;$BJ$4,"scaling format",$BI$8)</f>
        <v>#NAME?</v>
      </c>
      <c r="BW63" s="8" t="e">
        <f t="array" aca="1" ref="BW63" ca="1">_xll.BDP($BD$1,"bs cur liab","eqy fund relative period","-0fq","eqy consolidated="&amp;$CS$3,"eqy fund crncy="&amp;$BJ$4,"scaling format",$BI$8)</f>
        <v>#NAME?</v>
      </c>
      <c r="BX63" s="765"/>
      <c r="BY63" s="33">
        <f t="shared" si="123"/>
        <v>8.7782558931000274</v>
      </c>
      <c r="BZ63" s="820">
        <v>1.5309999999999999</v>
      </c>
      <c r="CA63" s="821"/>
      <c r="CB63" s="821"/>
      <c r="CC63" s="823">
        <f t="shared" si="124"/>
        <v>1.5309999999999999</v>
      </c>
      <c r="CD63" s="821">
        <v>10.435</v>
      </c>
      <c r="CE63" s="821"/>
      <c r="CF63" s="821"/>
      <c r="CG63" s="823">
        <f t="shared" si="125"/>
        <v>10.435</v>
      </c>
      <c r="CH63" s="48"/>
      <c r="CI63" s="48"/>
      <c r="CJ63" s="48"/>
      <c r="CK63" s="48"/>
      <c r="CL63" s="48">
        <v>0.80100000000000005</v>
      </c>
      <c r="CM63" s="48"/>
      <c r="CN63" s="48"/>
      <c r="CO63" s="349">
        <f t="shared" si="126"/>
        <v>0.80100000000000005</v>
      </c>
      <c r="CP63" s="48">
        <v>0</v>
      </c>
      <c r="CQ63" s="48"/>
      <c r="CR63" s="48"/>
      <c r="CS63" s="918">
        <f t="shared" si="127"/>
        <v>0</v>
      </c>
      <c r="CT63" s="832"/>
      <c r="CU63" s="871">
        <v>16.408999999999999</v>
      </c>
      <c r="CV63" s="919">
        <v>16.408999999999999</v>
      </c>
      <c r="CW63" s="919">
        <v>16.408999999999999</v>
      </c>
      <c r="CX63" s="919">
        <v>16.408999999999999</v>
      </c>
      <c r="CY63" s="920">
        <f t="shared" si="128"/>
        <v>16.408999999999999</v>
      </c>
      <c r="CZ63" s="526">
        <f t="shared" si="129"/>
        <v>2.1899193510717376</v>
      </c>
      <c r="DA63" s="871"/>
      <c r="DB63" s="919"/>
      <c r="DC63" s="919">
        <v>1.2E-2</v>
      </c>
      <c r="DD63" s="919">
        <v>9.641</v>
      </c>
      <c r="DE63" s="919">
        <v>17.564</v>
      </c>
      <c r="DF63" s="919">
        <f t="shared" si="130"/>
        <v>17.552</v>
      </c>
      <c r="DG63" s="921">
        <f t="shared" si="131"/>
        <v>1.2E-2</v>
      </c>
      <c r="DH63" s="721">
        <f t="shared" si="132"/>
        <v>1.6015011404022703E-5</v>
      </c>
      <c r="DI63" s="871">
        <v>85.3583</v>
      </c>
      <c r="DJ63" s="919">
        <f t="shared" si="133"/>
        <v>76.309700000000007</v>
      </c>
      <c r="DK63" s="922">
        <f t="shared" si="134"/>
        <v>85.3583</v>
      </c>
      <c r="DL63" s="380">
        <v>3.39</v>
      </c>
      <c r="DM63" s="3">
        <v>3.7</v>
      </c>
      <c r="DN63" s="411">
        <f t="shared" si="135"/>
        <v>3.39</v>
      </c>
      <c r="DO63" s="923">
        <f t="shared" si="136"/>
        <v>2.0384064366251251</v>
      </c>
      <c r="DP63" s="924">
        <f t="shared" si="137"/>
        <v>30.573526728699143</v>
      </c>
      <c r="DQ63" s="925">
        <f t="shared" si="138"/>
        <v>4.9907131966435294</v>
      </c>
      <c r="DR63" s="327"/>
      <c r="DS63" s="8"/>
      <c r="DT63" s="10">
        <f t="shared" si="139"/>
        <v>0</v>
      </c>
      <c r="DU63" s="926">
        <f t="shared" si="140"/>
        <v>0</v>
      </c>
      <c r="DV63" s="927" t="e">
        <f t="array" aca="1" ref="DV63" ca="1">_xll.BDP($BD$1,"bs lt operating lease liabs","eqy fund relative period","-0fq","eqy consolidated="&amp;$CS$3,"eqy fund crncy="&amp;$BJ$4,"scaling format",$BI$8)</f>
        <v>#NAME?</v>
      </c>
      <c r="DX63" t="s">
        <v>1008</v>
      </c>
      <c r="DY63" s="2" t="s">
        <v>1009</v>
      </c>
      <c r="DZ63" s="695">
        <v>0.22500000000000001</v>
      </c>
    </row>
    <row r="64" spans="1:130" ht="16" customHeight="1">
      <c r="A64" s="831">
        <f t="shared" si="86"/>
        <v>44926</v>
      </c>
      <c r="B64" s="74">
        <v>671.68600000000004</v>
      </c>
      <c r="C64" s="687">
        <v>0</v>
      </c>
      <c r="D64" s="687">
        <v>148.702</v>
      </c>
      <c r="E64" s="687">
        <v>92.117000000000004</v>
      </c>
      <c r="F64" s="687">
        <f t="shared" si="141"/>
        <v>24.192999999999941</v>
      </c>
      <c r="G64" s="687">
        <f t="shared" si="87"/>
        <v>0</v>
      </c>
      <c r="H64" s="687">
        <v>50.752000000000002</v>
      </c>
      <c r="I64" s="687">
        <v>0</v>
      </c>
      <c r="J64" s="687">
        <f t="shared" si="88"/>
        <v>0</v>
      </c>
      <c r="K64" s="687">
        <v>45.746000000000002</v>
      </c>
      <c r="L64" s="687">
        <v>81.218000000000004</v>
      </c>
      <c r="M64" s="687">
        <f t="shared" si="89"/>
        <v>20.77600000000001</v>
      </c>
      <c r="N64" s="687">
        <v>1135.19</v>
      </c>
      <c r="O64" s="687">
        <f t="shared" si="90"/>
        <v>463.50400000000002</v>
      </c>
      <c r="P64" s="687">
        <f t="shared" si="142"/>
        <v>1008.2260000000001</v>
      </c>
      <c r="Q64" s="687">
        <f t="shared" si="91"/>
        <v>336.54</v>
      </c>
      <c r="R64" s="687">
        <f t="shared" si="92"/>
        <v>792.80700000000002</v>
      </c>
      <c r="S64" s="687">
        <f t="shared" si="143"/>
        <v>19.7349999999999</v>
      </c>
      <c r="T64" s="132">
        <v>41.430999999999997</v>
      </c>
      <c r="U64" s="687">
        <f t="shared" si="93"/>
        <v>96.761999999999986</v>
      </c>
      <c r="V64" s="687">
        <f t="shared" si="94"/>
        <v>5.6980000000000004</v>
      </c>
      <c r="W64" s="687">
        <f t="shared" si="95"/>
        <v>0</v>
      </c>
      <c r="X64" s="687">
        <f t="shared" si="96"/>
        <v>337.18700000000001</v>
      </c>
      <c r="Y64" s="687">
        <f t="shared" si="97"/>
        <v>0</v>
      </c>
      <c r="Z64" s="687">
        <f t="shared" si="98"/>
        <v>25.576999999999998</v>
      </c>
      <c r="AA64" s="687">
        <f t="shared" si="99"/>
        <v>-323.17800000000005</v>
      </c>
      <c r="AB64" s="687">
        <v>219.38900000000001</v>
      </c>
      <c r="AC64" s="687">
        <v>628.53499999999997</v>
      </c>
      <c r="AD64" s="687">
        <f t="shared" si="100"/>
        <v>0</v>
      </c>
      <c r="AE64" s="687">
        <v>628.53499999999997</v>
      </c>
      <c r="AF64" s="687">
        <f t="shared" si="101"/>
        <v>501.57099999999997</v>
      </c>
      <c r="AG64" s="811" t="str">
        <f t="shared" ca="1" si="102"/>
        <v/>
      </c>
      <c r="AH64" s="805" t="str">
        <f t="shared" ca="1" si="103"/>
        <v/>
      </c>
      <c r="AI64" s="912" t="str">
        <f t="shared" ca="1" si="104"/>
        <v/>
      </c>
      <c r="AJ64" s="815">
        <f t="shared" si="105"/>
        <v>1.8060887619623411</v>
      </c>
      <c r="AK64" s="75">
        <f t="shared" si="106"/>
        <v>-1.0191417435069441</v>
      </c>
      <c r="AL64" s="805">
        <v>54.552999999999997</v>
      </c>
      <c r="AM64" s="811">
        <f t="shared" si="107"/>
        <v>24.101942145374089</v>
      </c>
      <c r="AN64" s="913">
        <f t="shared" si="108"/>
        <v>-51.417661705394302</v>
      </c>
      <c r="AO64" s="74">
        <f t="shared" si="109"/>
        <v>120.16821123886244</v>
      </c>
      <c r="AP64" s="687">
        <f t="shared" si="110"/>
        <v>75.084358183352464</v>
      </c>
      <c r="AQ64" s="687">
        <f t="shared" si="111"/>
        <v>54.04745226003137</v>
      </c>
      <c r="AR64" s="767">
        <f t="shared" si="112"/>
        <v>141.20511716218351</v>
      </c>
      <c r="AS64" s="928">
        <v>1.0840000000000001</v>
      </c>
      <c r="AU64" s="327">
        <v>126.964</v>
      </c>
      <c r="AV64" s="915">
        <f t="shared" si="113"/>
        <v>-64.433151039434108</v>
      </c>
      <c r="AW64" s="515">
        <f t="shared" si="114"/>
        <v>109.67490696805788</v>
      </c>
      <c r="AX64" s="915">
        <f t="shared" si="115"/>
        <v>109.90198922764482</v>
      </c>
      <c r="AY64" s="916">
        <v>362.76400000000001</v>
      </c>
      <c r="AZ64" s="917" t="str">
        <f t="shared" ca="1" si="116"/>
        <v/>
      </c>
      <c r="BC64" s="33">
        <v>5.6230000000000002</v>
      </c>
      <c r="BD64" s="327">
        <f t="shared" si="117"/>
        <v>121.12099999999995</v>
      </c>
      <c r="BE64" s="8">
        <f t="shared" si="118"/>
        <v>265.01199999999994</v>
      </c>
      <c r="BF64" s="8">
        <v>936.69799999999998</v>
      </c>
      <c r="BG64" s="8">
        <v>147.74</v>
      </c>
      <c r="BH64" s="328">
        <v>143.89099999999999</v>
      </c>
      <c r="BI64" s="327">
        <v>5.6980000000000004</v>
      </c>
      <c r="BJ64" s="8"/>
      <c r="BK64" s="8">
        <f t="shared" si="119"/>
        <v>5.6980000000000004</v>
      </c>
      <c r="BL64" s="8">
        <v>337.18700000000001</v>
      </c>
      <c r="BM64" s="8"/>
      <c r="BN64" s="328">
        <f t="shared" si="120"/>
        <v>337.18700000000001</v>
      </c>
      <c r="BO64" s="327">
        <v>34.843000000000004</v>
      </c>
      <c r="BP64" s="8">
        <v>35.353000000000002</v>
      </c>
      <c r="BQ64" s="8">
        <f t="shared" si="121"/>
        <v>-0.50999999999999801</v>
      </c>
      <c r="BR64" s="328">
        <f t="shared" si="122"/>
        <v>-1.4637086358809459</v>
      </c>
      <c r="BS64" s="327" t="e">
        <f t="array" aca="1" ref="BS64" ca="1">_xll.BDP($BD$1,"bs inventories","eqy fund relative period","-0fs","eqy consolidated="&amp;$CS$3,"eqy fund crncy="&amp;$BJ$4,"scaling format",$BI$8)</f>
        <v>#NAME?</v>
      </c>
      <c r="BT64" s="8" t="e">
        <f t="array" aca="1" ref="BT64" ca="1">_xll.BDP($BD$1,"bs other intangible assets","eqy fund relative period","-0fs","eqy consolidated="&amp;$CS$3,"eqy fund crncy="&amp;$BJ$4,"scaling format",$BI$8)</f>
        <v>#NAME?</v>
      </c>
      <c r="BU64" s="8" t="e">
        <f t="array" aca="1" ref="BU64" ca="1">_xll.BDP($BD$1,"bs st borrow","eqy fund relative period","-0fs","eqy consolidated="&amp;$CS$3,"eqy fund crncy="&amp;$BJ$4,"scaling format",$BI$8)</f>
        <v>#NAME?</v>
      </c>
      <c r="BV64" s="8" t="e">
        <f t="array" aca="1" ref="BV64" ca="1">_xll.BDP($BD$1,"minority noncontrolling interest","eqy fund relative period","-0fs","eqy consolidated="&amp;$CS$3,"eqy fund crncy="&amp;$BJ$4,"scaling format",$BI$8)</f>
        <v>#NAME?</v>
      </c>
      <c r="BW64" s="8" t="e">
        <f t="array" aca="1" ref="BW64" ca="1">_xll.BDP($BD$1,"bs cur liab","eqy fund relative period","-0fs","eqy consolidated="&amp;$CS$3,"eqy fund crncy="&amp;$BJ$4,"scaling format",$BI$8)</f>
        <v>#NAME?</v>
      </c>
      <c r="BX64" s="765"/>
      <c r="BY64" s="33">
        <f t="shared" si="123"/>
        <v>8.4520299042866398</v>
      </c>
      <c r="BZ64" s="820">
        <v>0.41599999999999998</v>
      </c>
      <c r="CA64" s="821"/>
      <c r="CB64" s="821"/>
      <c r="CC64" s="823">
        <f t="shared" si="124"/>
        <v>0.41599999999999998</v>
      </c>
      <c r="CD64" s="821">
        <v>13.898</v>
      </c>
      <c r="CE64" s="821"/>
      <c r="CF64" s="821"/>
      <c r="CG64" s="823">
        <f t="shared" si="125"/>
        <v>13.898</v>
      </c>
      <c r="CH64" s="48"/>
      <c r="CI64" s="48"/>
      <c r="CJ64" s="48"/>
      <c r="CK64" s="48"/>
      <c r="CL64" s="48">
        <v>0.374</v>
      </c>
      <c r="CM64" s="48"/>
      <c r="CN64" s="48"/>
      <c r="CO64" s="349">
        <f t="shared" si="126"/>
        <v>0.374</v>
      </c>
      <c r="CP64" s="48">
        <v>0</v>
      </c>
      <c r="CQ64" s="48"/>
      <c r="CR64" s="48"/>
      <c r="CS64" s="918">
        <f t="shared" si="127"/>
        <v>0</v>
      </c>
      <c r="CT64" s="832"/>
      <c r="CU64" s="871">
        <v>15.259</v>
      </c>
      <c r="CV64" s="919">
        <v>15.259</v>
      </c>
      <c r="CW64" s="919">
        <v>15.259</v>
      </c>
      <c r="CX64" s="919">
        <v>15.259</v>
      </c>
      <c r="CY64" s="920">
        <f t="shared" si="128"/>
        <v>15.259</v>
      </c>
      <c r="CZ64" s="526">
        <f t="shared" si="129"/>
        <v>2.1108913082573633</v>
      </c>
      <c r="DA64" s="871"/>
      <c r="DB64" s="919"/>
      <c r="DC64" s="919">
        <v>1.0999999999999999E-2</v>
      </c>
      <c r="DD64" s="919">
        <v>10.723000000000001</v>
      </c>
      <c r="DE64" s="919">
        <v>22.992000000000001</v>
      </c>
      <c r="DF64" s="919">
        <f t="shared" si="130"/>
        <v>22.981000000000002</v>
      </c>
      <c r="DG64" s="921">
        <f t="shared" si="131"/>
        <v>1.0999999999999999E-2</v>
      </c>
      <c r="DH64" s="721">
        <f t="shared" si="132"/>
        <v>1.5217120644099215E-5</v>
      </c>
      <c r="DI64" s="871">
        <v>85.526200000000003</v>
      </c>
      <c r="DJ64" s="919">
        <f t="shared" si="133"/>
        <v>79.311400000000006</v>
      </c>
      <c r="DK64" s="922">
        <f t="shared" si="134"/>
        <v>85.526200000000003</v>
      </c>
      <c r="DL64" s="380">
        <v>2.9</v>
      </c>
      <c r="DM64" s="3">
        <v>3.03</v>
      </c>
      <c r="DN64" s="411">
        <f t="shared" si="135"/>
        <v>2.9</v>
      </c>
      <c r="DO64" s="923">
        <f t="shared" si="136"/>
        <v>2.0101361522097574</v>
      </c>
      <c r="DP64" s="924">
        <f t="shared" si="137"/>
        <v>25.986068999426372</v>
      </c>
      <c r="DQ64" s="925">
        <f t="shared" si="138"/>
        <v>6.5097747600614353</v>
      </c>
      <c r="DR64" s="327"/>
      <c r="DS64" s="8"/>
      <c r="DT64" s="10">
        <f t="shared" si="139"/>
        <v>0</v>
      </c>
      <c r="DU64" s="926">
        <f t="shared" si="140"/>
        <v>0</v>
      </c>
      <c r="DV64" s="927" t="e">
        <f t="array" aca="1" ref="DV64" ca="1">_xll.BDP($BD$1,"bs lt operating lease liabs","eqy fund relative period","-0fs","eqy consolidated="&amp;$CS$3,"eqy fund crncy="&amp;$BJ$4,"scaling format",$BI$8)</f>
        <v>#NAME?</v>
      </c>
      <c r="DX64" t="s">
        <v>1010</v>
      </c>
      <c r="DY64" s="2" t="s">
        <v>1011</v>
      </c>
      <c r="DZ64" s="695">
        <v>0</v>
      </c>
    </row>
    <row r="65" spans="1:130" ht="16" customHeight="1">
      <c r="A65" s="929">
        <f t="shared" si="86"/>
        <v>45291</v>
      </c>
      <c r="B65" s="74">
        <v>413.47699999999998</v>
      </c>
      <c r="C65" s="687">
        <v>0</v>
      </c>
      <c r="D65" s="687">
        <v>145.845</v>
      </c>
      <c r="E65" s="687">
        <v>92.504999999999995</v>
      </c>
      <c r="F65" s="687">
        <f t="shared" si="141"/>
        <v>36.46500000000006</v>
      </c>
      <c r="G65" s="687">
        <f t="shared" si="87"/>
        <v>0</v>
      </c>
      <c r="H65" s="687">
        <v>55.758000000000003</v>
      </c>
      <c r="I65" s="687">
        <v>0</v>
      </c>
      <c r="J65" s="687">
        <f t="shared" si="88"/>
        <v>0</v>
      </c>
      <c r="K65" s="687">
        <v>45.402000000000001</v>
      </c>
      <c r="L65" s="687">
        <v>93.668000000000006</v>
      </c>
      <c r="M65" s="687">
        <f t="shared" si="89"/>
        <v>13.432999999999993</v>
      </c>
      <c r="N65" s="687">
        <v>896.553</v>
      </c>
      <c r="O65" s="687">
        <f t="shared" si="90"/>
        <v>483.07600000000002</v>
      </c>
      <c r="P65" s="687">
        <f t="shared" si="142"/>
        <v>757.48299999999995</v>
      </c>
      <c r="Q65" s="687">
        <f t="shared" si="91"/>
        <v>344.00600000000003</v>
      </c>
      <c r="R65" s="687">
        <f t="shared" si="92"/>
        <v>551.05899999999997</v>
      </c>
      <c r="S65" s="687">
        <f t="shared" si="143"/>
        <v>16.461000000000098</v>
      </c>
      <c r="T65" s="132">
        <v>46.889000000000003</v>
      </c>
      <c r="U65" s="687">
        <f t="shared" si="93"/>
        <v>83.460999999999984</v>
      </c>
      <c r="V65" s="687">
        <f t="shared" si="94"/>
        <v>6.883</v>
      </c>
      <c r="W65" s="687">
        <f t="shared" si="95"/>
        <v>0</v>
      </c>
      <c r="X65" s="687">
        <f t="shared" si="96"/>
        <v>312.27699999999999</v>
      </c>
      <c r="Y65" s="687">
        <f t="shared" si="97"/>
        <v>0</v>
      </c>
      <c r="Z65" s="687">
        <f t="shared" si="98"/>
        <v>25.629999999999995</v>
      </c>
      <c r="AA65" s="687">
        <f t="shared" si="99"/>
        <v>-88.990000000000009</v>
      </c>
      <c r="AB65" s="687">
        <v>162.779</v>
      </c>
      <c r="AC65" s="687">
        <v>421.41300000000001</v>
      </c>
      <c r="AD65" s="687">
        <f t="shared" si="100"/>
        <v>0</v>
      </c>
      <c r="AE65" s="687">
        <v>421.41300000000001</v>
      </c>
      <c r="AF65" s="687">
        <f t="shared" si="101"/>
        <v>282.34300000000002</v>
      </c>
      <c r="AG65" s="930" t="str">
        <f t="shared" ca="1" si="102"/>
        <v/>
      </c>
      <c r="AH65" s="805" t="str">
        <f t="shared" ca="1" si="103"/>
        <v/>
      </c>
      <c r="AI65" s="912" t="str">
        <f t="shared" ca="1" si="104"/>
        <v/>
      </c>
      <c r="AJ65" s="815">
        <f t="shared" si="105"/>
        <v>2.1274925073502717</v>
      </c>
      <c r="AK65" s="75">
        <f t="shared" si="106"/>
        <v>-0.37215001421856447</v>
      </c>
      <c r="AL65" s="805">
        <v>75.735699999999994</v>
      </c>
      <c r="AM65" s="811">
        <f t="shared" si="107"/>
        <v>18.294924554183815</v>
      </c>
      <c r="AN65" s="913">
        <f t="shared" si="108"/>
        <v>-21.117051443595713</v>
      </c>
      <c r="AO65" s="74">
        <f t="shared" si="109"/>
        <v>166.26611481528897</v>
      </c>
      <c r="AP65" s="687">
        <f t="shared" si="110"/>
        <v>91.962203426723477</v>
      </c>
      <c r="AQ65" s="687">
        <f t="shared" si="111"/>
        <v>84.277086185331456</v>
      </c>
      <c r="AR65" s="767">
        <f t="shared" si="112"/>
        <v>173.95123205668099</v>
      </c>
      <c r="AS65" s="931">
        <v>1.0871</v>
      </c>
      <c r="AU65" s="327">
        <v>139.07</v>
      </c>
      <c r="AV65" s="915">
        <f t="shared" si="113"/>
        <v>-31.518401377048484</v>
      </c>
      <c r="AW65" s="515">
        <f t="shared" si="114"/>
        <v>95.196955405606175</v>
      </c>
      <c r="AX65" s="915">
        <f t="shared" si="115"/>
        <v>135.69821515197137</v>
      </c>
      <c r="AY65" s="916">
        <v>337.90699999999998</v>
      </c>
      <c r="AZ65" s="917" t="str">
        <f t="shared" ca="1" si="116"/>
        <v/>
      </c>
      <c r="BC65" s="34">
        <v>5.327</v>
      </c>
      <c r="BD65" s="329">
        <f t="shared" si="117"/>
        <v>137.58200000000005</v>
      </c>
      <c r="BE65" s="16">
        <f t="shared" si="118"/>
        <v>274.81500000000005</v>
      </c>
      <c r="BF65" s="16">
        <v>688.29200000000003</v>
      </c>
      <c r="BG65" s="16">
        <v>152.50299999999999</v>
      </c>
      <c r="BH65" s="330">
        <v>137.233</v>
      </c>
      <c r="BI65" s="329">
        <v>6.883</v>
      </c>
      <c r="BJ65" s="16"/>
      <c r="BK65" s="16">
        <f t="shared" si="119"/>
        <v>6.883</v>
      </c>
      <c r="BL65" s="16">
        <v>312.27699999999999</v>
      </c>
      <c r="BM65" s="16"/>
      <c r="BN65" s="330">
        <f t="shared" si="120"/>
        <v>312.27699999999999</v>
      </c>
      <c r="BO65" s="329">
        <v>30.605</v>
      </c>
      <c r="BP65" s="16">
        <v>27.562000000000001</v>
      </c>
      <c r="BQ65" s="16">
        <f t="shared" si="121"/>
        <v>3.0429999999999993</v>
      </c>
      <c r="BR65" s="330">
        <f t="shared" si="122"/>
        <v>9.942819800686161</v>
      </c>
      <c r="BS65" s="338"/>
      <c r="BX65" s="765"/>
      <c r="BY65" s="34">
        <f t="shared" si="123"/>
        <v>6.9910616265883094</v>
      </c>
      <c r="BZ65" s="820">
        <v>0.49299999999999999</v>
      </c>
      <c r="CA65" s="821"/>
      <c r="CB65" s="821"/>
      <c r="CC65" s="823">
        <f t="shared" si="124"/>
        <v>0.49299999999999999</v>
      </c>
      <c r="CD65" s="821">
        <v>11.468999999999999</v>
      </c>
      <c r="CE65" s="821"/>
      <c r="CF65" s="821"/>
      <c r="CG65" s="823">
        <f t="shared" si="125"/>
        <v>11.468999999999999</v>
      </c>
      <c r="CH65" s="48"/>
      <c r="CI65" s="48"/>
      <c r="CJ65" s="48"/>
      <c r="CK65" s="48"/>
      <c r="CL65" s="48">
        <v>0.40300000000000002</v>
      </c>
      <c r="CM65" s="48"/>
      <c r="CN65" s="48"/>
      <c r="CO65" s="349">
        <f t="shared" si="126"/>
        <v>0.40300000000000002</v>
      </c>
      <c r="CP65" s="54">
        <v>0</v>
      </c>
      <c r="CQ65" s="54"/>
      <c r="CR65" s="54"/>
      <c r="CS65" s="918">
        <f t="shared" si="127"/>
        <v>0</v>
      </c>
      <c r="CT65" s="832"/>
      <c r="CU65" s="932">
        <v>19.106999999999999</v>
      </c>
      <c r="CV65" s="933">
        <v>19.106999999999999</v>
      </c>
      <c r="CW65" s="933">
        <v>19.106999999999999</v>
      </c>
      <c r="CX65" s="933">
        <v>19.106999999999999</v>
      </c>
      <c r="CY65" s="934">
        <f t="shared" si="128"/>
        <v>19.106999999999999</v>
      </c>
      <c r="CZ65" s="527">
        <f t="shared" si="129"/>
        <v>3.3007867160048514</v>
      </c>
      <c r="DA65" s="871"/>
      <c r="DB65" s="919"/>
      <c r="DC65" s="919">
        <v>0.192</v>
      </c>
      <c r="DD65" s="919">
        <v>11.787000000000001</v>
      </c>
      <c r="DE65" s="919">
        <v>25.731999999999999</v>
      </c>
      <c r="DF65" s="919">
        <f t="shared" si="130"/>
        <v>25.54</v>
      </c>
      <c r="DG65" s="921">
        <f t="shared" si="131"/>
        <v>0.192</v>
      </c>
      <c r="DH65" s="721">
        <f t="shared" si="132"/>
        <v>3.3168527213740063E-4</v>
      </c>
      <c r="DI65" s="871">
        <v>82.800299999999993</v>
      </c>
      <c r="DJ65" s="919">
        <f t="shared" si="133"/>
        <v>77.508700000000005</v>
      </c>
      <c r="DK65" s="922">
        <f t="shared" si="134"/>
        <v>82.800299999999993</v>
      </c>
      <c r="DL65" s="380">
        <v>2.23</v>
      </c>
      <c r="DM65" s="3">
        <v>2.2799999999999998</v>
      </c>
      <c r="DN65" s="411">
        <f t="shared" si="135"/>
        <v>2.23</v>
      </c>
      <c r="DO65" s="923">
        <f t="shared" si="136"/>
        <v>2.6828467502293307</v>
      </c>
      <c r="DP65" s="924">
        <f t="shared" si="137"/>
        <v>20.501028806584362</v>
      </c>
      <c r="DQ65" s="925">
        <f t="shared" si="138"/>
        <v>5.0154991875132078</v>
      </c>
      <c r="DR65" s="329"/>
      <c r="DS65" s="16"/>
      <c r="DT65" s="35">
        <f t="shared" si="139"/>
        <v>0</v>
      </c>
      <c r="DU65" s="926">
        <f t="shared" si="140"/>
        <v>0</v>
      </c>
      <c r="DV65" s="927">
        <f ca="1">IF(ISNUMBER(DV63),DV63,IF(ISNUMBER(DV64),DV64,0))</f>
        <v>0</v>
      </c>
      <c r="DX65" t="s">
        <v>1012</v>
      </c>
      <c r="DY65" s="2" t="s">
        <v>1013</v>
      </c>
      <c r="DZ65" s="695">
        <v>0.05</v>
      </c>
    </row>
    <row r="66" spans="1:130" ht="16" customHeight="1" thickBot="1">
      <c r="A66" s="133" t="s">
        <v>766</v>
      </c>
      <c r="B66" s="134" t="str">
        <f ca="1">IF(ISNUMBER(BS51),BS51,IF(ISNUMBER(BS52),BS52,""))</f>
        <v/>
      </c>
      <c r="C66" s="82" t="str">
        <f ca="1">IF(ISNUMBER(BS55),BS55,IF(ISNUMBER(BS56),BS56,""))</f>
        <v/>
      </c>
      <c r="D66" s="82" t="str">
        <f ca="1">IF(ISNUMBER(BS59),BS59,IF(ISNUMBER(BS60),BS60,""))</f>
        <v/>
      </c>
      <c r="E66" s="82" t="str">
        <f ca="1">IF(ISNUMBER(BS63),BS63,IF(ISNUMBER(BS64),BS64,""))</f>
        <v/>
      </c>
      <c r="F66" s="82" t="str">
        <f t="shared" ca="1" si="141"/>
        <v/>
      </c>
      <c r="G66" s="82">
        <f t="shared" ca="1" si="87"/>
        <v>0</v>
      </c>
      <c r="H66" s="82" t="str">
        <f ca="1">IF(ISNUMBER(BT51),BT51,IF(ISNUMBER(BT52),BT52,""))</f>
        <v/>
      </c>
      <c r="I66" s="82" t="str">
        <f ca="1">IF(ISNUMBER(BT55),BT55,IF(ISNUMBER(BT56),BT56,""))</f>
        <v/>
      </c>
      <c r="J66" s="82">
        <f t="shared" ca="1" si="88"/>
        <v>0</v>
      </c>
      <c r="K66" s="82" t="str">
        <f ca="1">IF(ISNUMBER(BT59),BT59,IF(ISNUMBER(BT60),BT60,""))</f>
        <v/>
      </c>
      <c r="L66" s="82" t="str">
        <f ca="1">IF(ISNUMBER(BT63),BT63,IF(ISNUMBER(BT64),BT64,""))</f>
        <v/>
      </c>
      <c r="M66" s="82" t="str">
        <f t="shared" ca="1" si="89"/>
        <v/>
      </c>
      <c r="N66" s="82" t="str">
        <f ca="1">IF(ISNUMBER(BU55),BU55,IF(ISNUMBER(BU56),BU56,""))</f>
        <v/>
      </c>
      <c r="O66" s="82" t="str">
        <f t="shared" ca="1" si="90"/>
        <v/>
      </c>
      <c r="P66" s="82" t="str">
        <f ca="1">IFERROR(IF(ISNUMBER(N66),N66-AU66,""),"")</f>
        <v/>
      </c>
      <c r="Q66" s="82" t="str">
        <f t="shared" ca="1" si="91"/>
        <v/>
      </c>
      <c r="R66" s="82" t="str">
        <f t="shared" ca="1" si="92"/>
        <v/>
      </c>
      <c r="S66" s="82" t="str">
        <f t="shared" ca="1" si="143"/>
        <v/>
      </c>
      <c r="T66" s="135" t="str">
        <f ca="1">IF(ISNUMBER(BU59),BU59,IF(ISNUMBER(BU60),BU60,""))</f>
        <v/>
      </c>
      <c r="U66" s="82" t="str">
        <f t="shared" ca="1" si="93"/>
        <v/>
      </c>
      <c r="V66" s="82" t="str">
        <f t="shared" ca="1" si="94"/>
        <v/>
      </c>
      <c r="W66" s="82" t="str">
        <f t="shared" ca="1" si="95"/>
        <v/>
      </c>
      <c r="X66" s="82" t="str">
        <f t="shared" ca="1" si="96"/>
        <v/>
      </c>
      <c r="Y66" s="82" t="str">
        <f t="shared" ca="1" si="97"/>
        <v/>
      </c>
      <c r="Z66" s="82" t="str">
        <f t="shared" ca="1" si="98"/>
        <v/>
      </c>
      <c r="AA66" s="82" t="str">
        <f t="shared" ca="1" si="99"/>
        <v/>
      </c>
      <c r="AB66" s="82" t="str">
        <f ca="1">IF(ISNUMBER(BV55),BV55,IF(ISNUMBER(BV56),BV56,""))</f>
        <v/>
      </c>
      <c r="AC66" s="82" t="str">
        <f ca="1">IF(ISNUMBER(BV59),BV59,IF(ISNUMBER(BV60),BV60,""))</f>
        <v/>
      </c>
      <c r="AD66" s="82" t="str">
        <f t="shared" ca="1" si="100"/>
        <v/>
      </c>
      <c r="AE66" s="82" t="str">
        <f ca="1">IF(ISNUMBER(BW51),BW51,IF(ISNUMBER(BW52),BW52,""))</f>
        <v/>
      </c>
      <c r="AF66" s="82" t="str">
        <f t="shared" ca="1" si="101"/>
        <v/>
      </c>
      <c r="AG66" s="935" t="str">
        <f t="shared" ca="1" si="102"/>
        <v/>
      </c>
      <c r="AH66" s="804" t="e">
        <f t="array" aca="1" ref="AH66" ca="1">IF(ISNUMBER(CV31),CV31,_xll.BDP(BD1,"px to tang bv per sh"))</f>
        <v>#NAME?</v>
      </c>
      <c r="AI66" s="936" t="str">
        <f t="shared" ca="1" si="104"/>
        <v/>
      </c>
      <c r="AJ66" s="937" t="str">
        <f t="shared" ca="1" si="105"/>
        <v/>
      </c>
      <c r="AK66" s="306" t="str">
        <f t="shared" ca="1" si="106"/>
        <v/>
      </c>
      <c r="AL66" s="804" t="str">
        <f ca="1">IF(ISNUMBER(BX51),BX51,IF(ISNUMBER(BX52),BX52,""))</f>
        <v/>
      </c>
      <c r="AM66" s="935" t="str">
        <f t="shared" ca="1" si="107"/>
        <v/>
      </c>
      <c r="AN66" s="804" t="str">
        <f t="shared" ca="1" si="108"/>
        <v/>
      </c>
      <c r="AO66" s="134" t="str">
        <f t="shared" ca="1" si="109"/>
        <v/>
      </c>
      <c r="AP66" s="82">
        <f ca="1">IFERROR(D66/B31*365,0)</f>
        <v>0</v>
      </c>
      <c r="AQ66" s="82" t="str">
        <f t="shared" ca="1" si="111"/>
        <v/>
      </c>
      <c r="AR66" s="136" t="str">
        <f t="shared" ca="1" si="112"/>
        <v/>
      </c>
      <c r="AS66" s="938" t="e">
        <f t="array" aca="1" ref="AS66" ca="1">_xll.BDP(BK3,"px last")</f>
        <v>#NAME?</v>
      </c>
      <c r="AU66" s="418" t="str">
        <f ca="1">IF(ISNUMBER(BU51),BU51,IF(ISNUMBER(BU52),BU52,""))</f>
        <v/>
      </c>
      <c r="AV66" s="939" t="str">
        <f t="shared" ca="1" si="113"/>
        <v/>
      </c>
      <c r="AW66" s="516" t="str">
        <f t="shared" ca="1" si="114"/>
        <v/>
      </c>
      <c r="AX66" s="939" t="str">
        <f t="shared" ca="1" si="115"/>
        <v/>
      </c>
      <c r="AY66" s="940" t="str">
        <f ca="1">IF(ISNUMBER(BX55),BX55,IF(ISNUMBER(BX56),BX56,""))</f>
        <v/>
      </c>
      <c r="AZ66" s="941" t="str">
        <f t="shared" ca="1" si="116"/>
        <v/>
      </c>
      <c r="BC66" s="247">
        <f ca="1">IF(ISNUMBER(BX59),BX59,IF(ISNUMBER(BX60),BX60,0))</f>
        <v>0</v>
      </c>
      <c r="BD66" s="331" t="str">
        <f t="shared" ca="1" si="117"/>
        <v/>
      </c>
      <c r="BE66" s="332" t="str">
        <f t="shared" ca="1" si="118"/>
        <v/>
      </c>
      <c r="BF66" s="332" t="str">
        <f ca="1">IF(ISNUMBER(BW55),BW55,IF(ISNUMBER(BW56),BW56,""))</f>
        <v/>
      </c>
      <c r="BG66" s="332" t="str">
        <f ca="1">IF(ISNUMBER(BW59),BW59,IF(ISNUMBER(BW60),BW60,""))</f>
        <v/>
      </c>
      <c r="BH66" s="333" t="str">
        <f ca="1">IF(ISNUMBER(BW63),BW63,IF(ISNUMBER(BW64),BW64,""))</f>
        <v/>
      </c>
      <c r="BI66" s="331" t="str">
        <f ca="1">IF(ISNUMBER(BU63),BU63,IF(ISNUMBER(BU64),BU64,""))</f>
        <v/>
      </c>
      <c r="BJ66" s="332">
        <f ca="1">DV61</f>
        <v>0</v>
      </c>
      <c r="BK66" s="332" t="e">
        <f t="shared" ca="1" si="119"/>
        <v>#VALUE!</v>
      </c>
      <c r="BL66" s="332" t="str">
        <f ca="1">IF(ISNUMBER(BV51),BV51,IF(ISNUMBER(BV52),BV52,""))</f>
        <v/>
      </c>
      <c r="BM66" s="332">
        <f ca="1">DV65</f>
        <v>0</v>
      </c>
      <c r="BN66" s="333" t="e">
        <f t="shared" ca="1" si="120"/>
        <v>#VALUE!</v>
      </c>
      <c r="BO66" s="331" t="e">
        <f t="array" aca="1" ref="BO66" ca="1">_xll.BDP($BD$1,"trail 12m inc tax exp","scaling format",$BI$8)</f>
        <v>#NAME?</v>
      </c>
      <c r="BP66" s="332" t="e">
        <f t="array" aca="1" ref="BP66" ca="1">_xll.BDP($BD$1,"trail 12m cash paid for tax","scaling format",$BI$8)</f>
        <v>#NAME?</v>
      </c>
      <c r="BQ66" s="332" t="str">
        <f t="shared" ca="1" si="121"/>
        <v/>
      </c>
      <c r="BR66" s="333" t="str">
        <f t="shared" ca="1" si="122"/>
        <v/>
      </c>
      <c r="BS66" s="341"/>
      <c r="BT66" s="342"/>
      <c r="BU66" s="342"/>
      <c r="BV66" s="342"/>
      <c r="BW66" s="342"/>
      <c r="BX66" s="343"/>
      <c r="BY66" s="247" t="e">
        <f t="shared" ca="1" si="123"/>
        <v>#NAME?</v>
      </c>
      <c r="BZ66" s="862"/>
      <c r="CA66" s="856"/>
      <c r="CB66" s="856"/>
      <c r="CC66" s="856"/>
      <c r="CD66" s="856"/>
      <c r="CE66" s="856"/>
      <c r="CF66" s="856"/>
      <c r="CG66" s="856"/>
      <c r="CH66" s="350"/>
      <c r="CI66" s="350"/>
      <c r="CJ66" s="350"/>
      <c r="CK66" s="350"/>
      <c r="CL66" s="350"/>
      <c r="CM66" s="350"/>
      <c r="CN66" s="350"/>
      <c r="CO66" s="350"/>
      <c r="CP66" s="351" t="str">
        <f ca="1">CT53</f>
        <v/>
      </c>
      <c r="CQ66" s="351" t="str">
        <f ca="1">CT57</f>
        <v/>
      </c>
      <c r="CR66" s="351" t="str">
        <f ca="1">CT61</f>
        <v/>
      </c>
      <c r="CS66" s="942">
        <f t="shared" ca="1" si="127"/>
        <v>0</v>
      </c>
      <c r="CT66" s="943"/>
      <c r="CU66" s="358"/>
      <c r="CV66" s="762"/>
      <c r="CW66" s="762"/>
      <c r="CX66" s="762"/>
      <c r="CY66" s="405"/>
      <c r="CZ66" s="406"/>
      <c r="DA66" s="862"/>
      <c r="DB66" s="856"/>
      <c r="DC66" s="856"/>
      <c r="DD66" s="857"/>
      <c r="DE66" s="856" t="e">
        <f t="array" aca="1" ref="DE66" ca="1">_xll.BDP($BD$1,"trail 12m amort and depr","scaling format",$BI$8)</f>
        <v>#NAME?</v>
      </c>
      <c r="DF66" s="342"/>
      <c r="DG66" s="408" t="str">
        <f t="shared" ca="1" si="131"/>
        <v/>
      </c>
      <c r="DH66" s="722" t="str">
        <f t="shared" ca="1" si="132"/>
        <v/>
      </c>
      <c r="DI66" s="862" t="e">
        <f t="array" aca="1" ref="DI66" ca="1">_xll.BDP($BD$1,"is sh for diluted eps")</f>
        <v>#NAME?</v>
      </c>
      <c r="DJ66" s="856" t="e">
        <f t="shared" ca="1" si="133"/>
        <v>#NAME?</v>
      </c>
      <c r="DK66" s="944" t="e">
        <f t="shared" ca="1" si="134"/>
        <v>#NAME?</v>
      </c>
      <c r="DL66" s="381" t="e">
        <f t="array" aca="1" ref="DL66" ca="1">_xll.BDP($BD$1,"trail 12m diluted eps")</f>
        <v>#NAME?</v>
      </c>
      <c r="DM66" s="412" t="e">
        <f t="array" aca="1" ref="DM66" ca="1">_xll.BDP($BD$1,"trail 12m eps")</f>
        <v>#NAME?</v>
      </c>
      <c r="DN66" s="413" t="str">
        <f t="shared" ca="1" si="135"/>
        <v/>
      </c>
      <c r="DO66" s="945" t="str">
        <f t="shared" ca="1" si="136"/>
        <v/>
      </c>
      <c r="DP66" s="946" t="str">
        <f t="shared" ca="1" si="137"/>
        <v/>
      </c>
      <c r="DQ66" s="947" t="str">
        <f t="shared" ca="1" si="138"/>
        <v/>
      </c>
      <c r="DR66" s="418" t="str">
        <f ca="1">DV53</f>
        <v/>
      </c>
      <c r="DS66" s="507" t="str">
        <f ca="1">DV57</f>
        <v/>
      </c>
      <c r="DT66" s="508" t="str">
        <f t="shared" ca="1" si="139"/>
        <v/>
      </c>
      <c r="DU66" s="948">
        <f t="shared" ca="1" si="140"/>
        <v>0</v>
      </c>
      <c r="DV66" s="949"/>
      <c r="DX66" t="s">
        <v>1014</v>
      </c>
      <c r="DY66" s="2" t="s">
        <v>1015</v>
      </c>
      <c r="DZ66" s="695">
        <v>0.1</v>
      </c>
    </row>
    <row r="67" spans="1:130" ht="16" customHeight="1" thickBot="1">
      <c r="A67" s="118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  <c r="AT67" s="46"/>
      <c r="AU67" s="46"/>
      <c r="AV67" s="46"/>
      <c r="AW67" s="46"/>
      <c r="AX67" s="46"/>
      <c r="AY67" s="46"/>
      <c r="AZ67" s="46"/>
      <c r="BA67" s="46"/>
      <c r="BM67" s="1"/>
      <c r="DX67" t="s">
        <v>1016</v>
      </c>
      <c r="DY67" s="2" t="s">
        <v>1017</v>
      </c>
      <c r="DZ67" s="695">
        <v>0.05</v>
      </c>
    </row>
    <row r="68" spans="1:130" ht="16" customHeight="1">
      <c r="A68" s="143"/>
      <c r="B68" s="144" t="s">
        <v>1018</v>
      </c>
      <c r="C68" s="145"/>
      <c r="D68" s="145"/>
      <c r="E68" s="145"/>
      <c r="F68" s="145"/>
      <c r="G68" s="146"/>
      <c r="H68" s="144" t="s">
        <v>1019</v>
      </c>
      <c r="I68" s="145"/>
      <c r="J68" s="145"/>
      <c r="K68" s="145"/>
      <c r="L68" s="146"/>
      <c r="M68" s="122" t="s">
        <v>845</v>
      </c>
      <c r="N68" s="122" t="s">
        <v>1020</v>
      </c>
      <c r="O68" s="122" t="s">
        <v>1021</v>
      </c>
      <c r="P68" s="122" t="s">
        <v>636</v>
      </c>
      <c r="Q68" s="120"/>
      <c r="R68" s="121"/>
      <c r="S68" s="121"/>
      <c r="T68" s="121"/>
      <c r="U68" s="122" t="s">
        <v>1022</v>
      </c>
      <c r="V68" s="121"/>
      <c r="W68" s="122" t="s">
        <v>871</v>
      </c>
      <c r="X68" s="121"/>
      <c r="Y68" s="121"/>
      <c r="Z68" s="121"/>
      <c r="AA68" s="123"/>
      <c r="AB68" s="144" t="s">
        <v>1023</v>
      </c>
      <c r="AC68" s="145"/>
      <c r="AD68" s="145"/>
      <c r="AE68" s="145"/>
      <c r="AF68" s="145"/>
      <c r="AG68" s="145"/>
      <c r="AH68" s="145"/>
      <c r="AI68" s="145"/>
      <c r="AJ68" s="146"/>
      <c r="AK68" s="122"/>
      <c r="AL68" s="122"/>
      <c r="AM68" s="122" t="s">
        <v>1024</v>
      </c>
      <c r="AN68" s="122" t="s">
        <v>1025</v>
      </c>
      <c r="AO68" s="122" t="s">
        <v>1020</v>
      </c>
      <c r="AP68" s="122" t="s">
        <v>1026</v>
      </c>
      <c r="AQ68" s="122" t="s">
        <v>1027</v>
      </c>
      <c r="AR68" s="528" t="s">
        <v>858</v>
      </c>
      <c r="AS68" s="319" t="s">
        <v>1028</v>
      </c>
      <c r="AT68" s="686" t="s">
        <v>463</v>
      </c>
      <c r="AU68" s="487" t="s">
        <v>1020</v>
      </c>
      <c r="AV68" s="345" t="s">
        <v>1029</v>
      </c>
      <c r="AW68" s="345" t="s">
        <v>1030</v>
      </c>
      <c r="AX68" s="345"/>
      <c r="AY68" s="488"/>
      <c r="AZ68" s="489"/>
      <c r="BB68" s="2"/>
      <c r="BC68" s="334"/>
      <c r="BD68" s="337"/>
      <c r="BE68" s="334"/>
      <c r="BF68" s="321"/>
      <c r="BG68" s="321"/>
      <c r="BH68" s="321"/>
      <c r="BI68" s="321"/>
      <c r="BJ68" s="321" t="s">
        <v>590</v>
      </c>
      <c r="BK68" s="337"/>
      <c r="BL68" s="320" t="s">
        <v>1031</v>
      </c>
      <c r="BM68" s="321" t="s">
        <v>1032</v>
      </c>
      <c r="BN68" s="321" t="s">
        <v>1033</v>
      </c>
      <c r="BO68" s="321" t="s">
        <v>1034</v>
      </c>
      <c r="BP68" s="337"/>
      <c r="BQ68" s="320" t="s">
        <v>871</v>
      </c>
      <c r="BR68" s="321" t="s">
        <v>871</v>
      </c>
      <c r="BS68" s="322" t="s">
        <v>871</v>
      </c>
      <c r="BT68" s="320" t="s">
        <v>1035</v>
      </c>
      <c r="BU68" s="321" t="s">
        <v>1035</v>
      </c>
      <c r="BV68" s="424"/>
      <c r="BW68" s="321" t="s">
        <v>1035</v>
      </c>
      <c r="BX68" s="321" t="s">
        <v>1035</v>
      </c>
      <c r="BY68" s="424"/>
      <c r="BZ68" s="321" t="s">
        <v>1035</v>
      </c>
      <c r="CA68" s="321" t="s">
        <v>1035</v>
      </c>
      <c r="CB68" s="424"/>
      <c r="CC68" s="425"/>
      <c r="CD68" s="321" t="s">
        <v>609</v>
      </c>
      <c r="CE68" s="321" t="s">
        <v>609</v>
      </c>
      <c r="CF68" s="335"/>
      <c r="CG68" s="337"/>
      <c r="CH68" s="31" t="s">
        <v>646</v>
      </c>
      <c r="CI68" s="320" t="s">
        <v>661</v>
      </c>
      <c r="CJ68" s="321" t="s">
        <v>661</v>
      </c>
      <c r="CK68" s="321" t="s">
        <v>851</v>
      </c>
      <c r="CL68" s="322" t="s">
        <v>1036</v>
      </c>
      <c r="CM68" s="334"/>
      <c r="CN68" s="337"/>
      <c r="CO68" s="334" t="s">
        <v>1037</v>
      </c>
      <c r="CP68" s="335"/>
      <c r="CQ68" s="335"/>
      <c r="CR68" s="335" t="s">
        <v>1038</v>
      </c>
      <c r="CS68" s="335"/>
      <c r="CT68" s="335"/>
      <c r="CU68" s="335" t="s">
        <v>1039</v>
      </c>
      <c r="CV68" s="335"/>
      <c r="CW68" s="335"/>
      <c r="CX68" s="335"/>
      <c r="CY68" s="335"/>
      <c r="CZ68" s="335"/>
      <c r="DA68" s="335"/>
      <c r="DB68" s="337"/>
      <c r="DC68" s="334" t="s">
        <v>863</v>
      </c>
      <c r="DD68" s="335" t="s">
        <v>1040</v>
      </c>
      <c r="DE68" s="335"/>
      <c r="DF68" s="335" t="s">
        <v>867</v>
      </c>
      <c r="DG68" s="335" t="s">
        <v>1041</v>
      </c>
      <c r="DH68" s="335"/>
      <c r="DI68" s="335"/>
      <c r="DJ68" s="335"/>
      <c r="DK68" s="335"/>
      <c r="DL68" s="335"/>
      <c r="DM68" s="335"/>
      <c r="DN68" s="335"/>
      <c r="DO68" s="337"/>
      <c r="DX68" t="s">
        <v>1042</v>
      </c>
      <c r="DY68" s="2" t="s">
        <v>1043</v>
      </c>
      <c r="DZ68" s="695">
        <v>0</v>
      </c>
    </row>
    <row r="69" spans="1:130" ht="16" customHeight="1">
      <c r="A69" s="124" t="s">
        <v>616</v>
      </c>
      <c r="B69" s="125" t="s">
        <v>863</v>
      </c>
      <c r="C69" s="126" t="s">
        <v>864</v>
      </c>
      <c r="D69" s="153" t="s">
        <v>1044</v>
      </c>
      <c r="E69" s="126" t="s">
        <v>867</v>
      </c>
      <c r="F69" s="126" t="s">
        <v>1045</v>
      </c>
      <c r="G69" s="127" t="s">
        <v>770</v>
      </c>
      <c r="H69" s="125" t="s">
        <v>863</v>
      </c>
      <c r="I69" s="126" t="s">
        <v>864</v>
      </c>
      <c r="J69" s="126" t="s">
        <v>867</v>
      </c>
      <c r="K69" s="126" t="s">
        <v>1045</v>
      </c>
      <c r="L69" s="127" t="s">
        <v>770</v>
      </c>
      <c r="M69" s="126" t="s">
        <v>907</v>
      </c>
      <c r="N69" s="126" t="s">
        <v>620</v>
      </c>
      <c r="O69" s="126" t="s">
        <v>1046</v>
      </c>
      <c r="P69" s="202" t="s">
        <v>1047</v>
      </c>
      <c r="Q69" s="125" t="s">
        <v>636</v>
      </c>
      <c r="R69" s="126" t="s">
        <v>878</v>
      </c>
      <c r="S69" s="126" t="s">
        <v>1048</v>
      </c>
      <c r="T69" s="126" t="s">
        <v>1049</v>
      </c>
      <c r="U69" s="126" t="s">
        <v>540</v>
      </c>
      <c r="V69" s="126" t="s">
        <v>1050</v>
      </c>
      <c r="W69" s="126" t="s">
        <v>1049</v>
      </c>
      <c r="X69" s="126" t="s">
        <v>587</v>
      </c>
      <c r="Y69" s="126" t="s">
        <v>1051</v>
      </c>
      <c r="Z69" s="126" t="s">
        <v>1052</v>
      </c>
      <c r="AA69" s="127" t="s">
        <v>565</v>
      </c>
      <c r="AB69" s="125" t="s">
        <v>908</v>
      </c>
      <c r="AC69" s="126" t="s">
        <v>503</v>
      </c>
      <c r="AD69" s="126" t="s">
        <v>620</v>
      </c>
      <c r="AE69" s="126" t="s">
        <v>622</v>
      </c>
      <c r="AF69" s="126" t="s">
        <v>641</v>
      </c>
      <c r="AG69" s="126" t="s">
        <v>1026</v>
      </c>
      <c r="AH69" s="126" t="s">
        <v>602</v>
      </c>
      <c r="AI69" s="126" t="s">
        <v>1053</v>
      </c>
      <c r="AJ69" s="127" t="s">
        <v>636</v>
      </c>
      <c r="AK69" s="126" t="s">
        <v>1054</v>
      </c>
      <c r="AL69" s="126" t="s">
        <v>1055</v>
      </c>
      <c r="AM69" s="126" t="s">
        <v>1056</v>
      </c>
      <c r="AN69" s="126" t="s">
        <v>1057</v>
      </c>
      <c r="AO69" s="126" t="s">
        <v>770</v>
      </c>
      <c r="AP69" s="126" t="s">
        <v>1058</v>
      </c>
      <c r="AQ69" s="126" t="s">
        <v>1045</v>
      </c>
      <c r="AR69" s="529" t="s">
        <v>1059</v>
      </c>
      <c r="AS69" s="152" t="s">
        <v>1060</v>
      </c>
      <c r="AT69" s="686" t="s">
        <v>463</v>
      </c>
      <c r="AU69" s="490" t="s">
        <v>1046</v>
      </c>
      <c r="AV69" s="174" t="s">
        <v>1061</v>
      </c>
      <c r="AW69" s="174" t="s">
        <v>1062</v>
      </c>
      <c r="AX69" s="174" t="s">
        <v>1063</v>
      </c>
      <c r="AY69" s="59" t="s">
        <v>1064</v>
      </c>
      <c r="AZ69" s="491" t="s">
        <v>1044</v>
      </c>
      <c r="BB69" s="2"/>
      <c r="BC69" s="323" t="s">
        <v>1065</v>
      </c>
      <c r="BD69" s="324" t="s">
        <v>503</v>
      </c>
      <c r="BE69" s="323" t="s">
        <v>1046</v>
      </c>
      <c r="BF69" s="4" t="s">
        <v>1066</v>
      </c>
      <c r="BG69" s="4" t="s">
        <v>1067</v>
      </c>
      <c r="BH69" s="4" t="s">
        <v>636</v>
      </c>
      <c r="BI69" s="4" t="s">
        <v>647</v>
      </c>
      <c r="BJ69" s="4" t="s">
        <v>636</v>
      </c>
      <c r="BK69" s="324" t="s">
        <v>1048</v>
      </c>
      <c r="BL69" s="323" t="s">
        <v>1068</v>
      </c>
      <c r="BM69" s="4" t="s">
        <v>1069</v>
      </c>
      <c r="BN69" s="4" t="s">
        <v>868</v>
      </c>
      <c r="BO69" s="4" t="s">
        <v>868</v>
      </c>
      <c r="BP69" s="324" t="s">
        <v>1049</v>
      </c>
      <c r="BQ69" s="323" t="s">
        <v>1070</v>
      </c>
      <c r="BR69" s="4" t="s">
        <v>1071</v>
      </c>
      <c r="BS69" s="324" t="s">
        <v>1049</v>
      </c>
      <c r="BT69" s="323" t="s">
        <v>1072</v>
      </c>
      <c r="BU69" s="4" t="s">
        <v>1073</v>
      </c>
      <c r="BV69" s="7" t="s">
        <v>1074</v>
      </c>
      <c r="BW69" s="4" t="s">
        <v>1075</v>
      </c>
      <c r="BX69" s="4" t="s">
        <v>1075</v>
      </c>
      <c r="BY69" s="7" t="s">
        <v>1050</v>
      </c>
      <c r="BZ69" s="4" t="s">
        <v>1076</v>
      </c>
      <c r="CA69" s="4" t="s">
        <v>1077</v>
      </c>
      <c r="CB69" s="7" t="s">
        <v>648</v>
      </c>
      <c r="CC69" s="200" t="s">
        <v>1078</v>
      </c>
      <c r="CD69" s="4" t="s">
        <v>1075</v>
      </c>
      <c r="CE69" s="4" t="s">
        <v>1075</v>
      </c>
      <c r="CF69" s="4" t="s">
        <v>1079</v>
      </c>
      <c r="CG69" s="324" t="s">
        <v>1050</v>
      </c>
      <c r="CH69" s="36" t="s">
        <v>1080</v>
      </c>
      <c r="CI69" s="323" t="s">
        <v>1081</v>
      </c>
      <c r="CJ69" s="4" t="s">
        <v>540</v>
      </c>
      <c r="CK69" s="4" t="s">
        <v>565</v>
      </c>
      <c r="CL69" s="324" t="s">
        <v>1082</v>
      </c>
      <c r="CM69" s="323" t="s">
        <v>1083</v>
      </c>
      <c r="CN69" s="950" t="e">
        <f ca="1">(CN86-TODAY())/365</f>
        <v>#NAME?</v>
      </c>
      <c r="CO69" s="338" t="s">
        <v>916</v>
      </c>
      <c r="CR69" t="s">
        <v>916</v>
      </c>
      <c r="CU69" t="s">
        <v>916</v>
      </c>
      <c r="DB69" s="765"/>
      <c r="DC69" s="338" t="s">
        <v>916</v>
      </c>
      <c r="DD69" t="s">
        <v>916</v>
      </c>
      <c r="DF69" t="s">
        <v>916</v>
      </c>
      <c r="DG69" t="s">
        <v>916</v>
      </c>
      <c r="DO69" s="765"/>
      <c r="DX69" t="s">
        <v>1084</v>
      </c>
      <c r="DY69" s="2" t="s">
        <v>1085</v>
      </c>
      <c r="DZ69" s="695">
        <v>0</v>
      </c>
    </row>
    <row r="70" spans="1:130" ht="16" hidden="1" customHeight="1" outlineLevel="1">
      <c r="A70" s="128"/>
      <c r="B70" s="129"/>
      <c r="C70" s="130"/>
      <c r="D70" s="130"/>
      <c r="E70" s="130"/>
      <c r="F70" s="130"/>
      <c r="G70" s="131"/>
      <c r="H70" s="129" t="str">
        <f t="shared" ref="H70:H85" si="144">IFERROR((B70/B69-1)*100,"")</f>
        <v/>
      </c>
      <c r="I70" s="130"/>
      <c r="J70" s="130"/>
      <c r="K70" s="130"/>
      <c r="L70" s="131"/>
      <c r="M70" s="130"/>
      <c r="N70" s="130"/>
      <c r="O70" s="130"/>
      <c r="P70" s="130"/>
      <c r="Q70" s="139"/>
      <c r="R70" s="130" t="s">
        <v>1086</v>
      </c>
      <c r="S70" s="130"/>
      <c r="T70" s="130"/>
      <c r="U70" s="130"/>
      <c r="V70" s="130"/>
      <c r="W70" s="130" t="s">
        <v>1087</v>
      </c>
      <c r="X70" s="130"/>
      <c r="Y70" s="130"/>
      <c r="Z70" s="130"/>
      <c r="AA70" s="131"/>
      <c r="AB70" s="129"/>
      <c r="AC70" s="130"/>
      <c r="AD70" s="130"/>
      <c r="AE70" s="130"/>
      <c r="AF70" s="130"/>
      <c r="AG70" s="130"/>
      <c r="AH70" s="130"/>
      <c r="AI70" s="130"/>
      <c r="AJ70" s="131"/>
      <c r="AK70" s="130"/>
      <c r="AL70" s="130"/>
      <c r="AM70" s="130" t="s">
        <v>1088</v>
      </c>
      <c r="AN70" s="130" t="s">
        <v>1089</v>
      </c>
      <c r="AO70" s="130"/>
      <c r="AP70" s="130" t="s">
        <v>1090</v>
      </c>
      <c r="AQ70" s="130"/>
      <c r="AR70" s="530"/>
      <c r="AS70" s="131"/>
      <c r="AU70" s="414"/>
      <c r="AV70" s="223"/>
      <c r="AW70" s="223"/>
      <c r="AX70" s="223" t="s">
        <v>1091</v>
      </c>
      <c r="AY70" s="210" t="s">
        <v>1092</v>
      </c>
      <c r="AZ70" s="457"/>
      <c r="BB70" t="s">
        <v>463</v>
      </c>
      <c r="BC70" s="417" t="s">
        <v>1093</v>
      </c>
      <c r="BD70" s="326" t="s">
        <v>1094</v>
      </c>
      <c r="BE70" s="417" t="s">
        <v>1095</v>
      </c>
      <c r="BF70" s="23" t="s">
        <v>975</v>
      </c>
      <c r="BG70" s="23" t="s">
        <v>1096</v>
      </c>
      <c r="BH70" s="23"/>
      <c r="BI70" s="23" t="s">
        <v>1097</v>
      </c>
      <c r="BJ70" s="23"/>
      <c r="BK70" s="326" t="s">
        <v>1098</v>
      </c>
      <c r="BL70" s="417" t="s">
        <v>1099</v>
      </c>
      <c r="BM70" s="23" t="s">
        <v>1100</v>
      </c>
      <c r="BN70" s="23" t="s">
        <v>1101</v>
      </c>
      <c r="BO70" s="23" t="s">
        <v>1102</v>
      </c>
      <c r="BP70" s="326"/>
      <c r="BQ70" s="417" t="s">
        <v>1087</v>
      </c>
      <c r="BR70" s="304" t="s">
        <v>1103</v>
      </c>
      <c r="BS70" s="423" t="s">
        <v>1087</v>
      </c>
      <c r="BT70" s="426" t="s">
        <v>1104</v>
      </c>
      <c r="BU70" s="199" t="s">
        <v>1105</v>
      </c>
      <c r="BV70" s="199"/>
      <c r="BW70" s="23" t="s">
        <v>1106</v>
      </c>
      <c r="BX70" s="23" t="s">
        <v>1107</v>
      </c>
      <c r="BY70" s="23"/>
      <c r="BZ70" s="23" t="s">
        <v>1108</v>
      </c>
      <c r="CA70" s="23" t="s">
        <v>1109</v>
      </c>
      <c r="CB70" s="23" t="s">
        <v>1109</v>
      </c>
      <c r="CC70" s="201"/>
      <c r="CD70" s="23" t="s">
        <v>1110</v>
      </c>
      <c r="CE70" s="23" t="s">
        <v>1111</v>
      </c>
      <c r="CF70" s="23"/>
      <c r="CG70" s="326" t="s">
        <v>463</v>
      </c>
      <c r="CH70" s="430" t="s">
        <v>1112</v>
      </c>
      <c r="CI70" s="426" t="s">
        <v>1113</v>
      </c>
      <c r="CJ70" s="23" t="s">
        <v>1114</v>
      </c>
      <c r="CK70" s="23"/>
      <c r="CL70" s="423" t="s">
        <v>1115</v>
      </c>
      <c r="CM70" s="426"/>
      <c r="CN70" s="326"/>
      <c r="CO70" s="325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326"/>
      <c r="DC70" s="338"/>
      <c r="DO70" s="765"/>
      <c r="DX70" t="s">
        <v>1116</v>
      </c>
      <c r="DY70" s="2" t="s">
        <v>1117</v>
      </c>
      <c r="DZ70" s="695">
        <v>0.15</v>
      </c>
    </row>
    <row r="71" spans="1:130" ht="16" customHeight="1" collapsed="1">
      <c r="A71" s="831" t="str">
        <f t="shared" ref="A71:A85" ca="1" si="145">IF(ISNUMBER(A16),A16,"")</f>
        <v/>
      </c>
      <c r="B71" s="815" t="str">
        <f t="shared" ref="B71:B86" ca="1" si="146">IF(ISNUMBER(B16),IFERROR(B16/D51,""),"")</f>
        <v/>
      </c>
      <c r="C71" s="805" t="str">
        <f t="shared" ref="C71:C86" ca="1" si="147">IF(ISNUMBER(B16),IFERROR(B16/E51,""),"")</f>
        <v/>
      </c>
      <c r="D71" s="805" t="str">
        <f t="shared" ref="D71:D86" ca="1" si="148">IFERROR(IF(ISNUMBER(BC71),BC71/E51,""),"")</f>
        <v/>
      </c>
      <c r="E71" s="805" t="str">
        <f t="shared" ref="E71:E86" ca="1" si="149">IF(ISNUMBER(B16),IFERROR(B16/H51,""),"")</f>
        <v/>
      </c>
      <c r="F71" s="805" t="str">
        <f t="shared" ref="F71:F86" ca="1" si="150">IF(AND(ISNUMBER(B16),ISNUMBER(O51)),B16/O51,"")</f>
        <v/>
      </c>
      <c r="G71" s="784" t="str">
        <f t="shared" ref="G71:G86" ca="1" si="151">IF(AND(ISNUMBER(B16),ISNUMBER(Q51)),B16/Q51,"")</f>
        <v/>
      </c>
      <c r="H71" s="815" t="str">
        <f t="shared" ca="1" si="144"/>
        <v/>
      </c>
      <c r="I71" s="805"/>
      <c r="J71" s="805"/>
      <c r="K71" s="805"/>
      <c r="L71" s="784"/>
      <c r="M71" s="805" t="str">
        <f t="shared" ref="M71:M86" ca="1" si="152">BR51</f>
        <v/>
      </c>
      <c r="N71" s="687" t="str">
        <f t="shared" ref="N71:N86" ca="1" si="153">IFERROR(Q71/F16*100,"")</f>
        <v/>
      </c>
      <c r="O71" s="687" t="str">
        <f t="shared" ref="O71:O85" ca="1" si="154">IF(ISNUMBER(R16),S71/R16*100,IF(ISNUMBER(O16),S71/O16*100,""))</f>
        <v/>
      </c>
      <c r="P71" s="805" t="str">
        <f t="shared" ref="P71:P86" ca="1" si="155">IF(AND(ISNUMBER(O16),ISNUMBER(Q71)),Q71-O16,"")</f>
        <v/>
      </c>
      <c r="Q71" s="74" t="str">
        <f t="shared" ref="Q71:Q86" ca="1" si="156">IFERROR(BJ71,"")</f>
        <v/>
      </c>
      <c r="R71" s="687" t="str">
        <f t="shared" ref="R71:R86" ca="1" si="157">IFERROR(Q71-S71,"")</f>
        <v/>
      </c>
      <c r="S71" s="687" t="e">
        <f t="shared" ref="S71:S85" ca="1" si="158">BI71+BK71</f>
        <v>#NAME?</v>
      </c>
      <c r="T71" s="687" t="str">
        <f t="shared" ref="T71:T86" ca="1" si="159">IFERROR(-BP71,"")</f>
        <v/>
      </c>
      <c r="U71" s="805" t="str">
        <f t="shared" ref="U71:U86" ca="1" si="160">IFERROR(T71/B16*100,"")</f>
        <v/>
      </c>
      <c r="V71" s="687">
        <f t="shared" ref="V71:V86" ca="1" si="161">IF(ISNUMBER(CG71),CG71,0)</f>
        <v>0</v>
      </c>
      <c r="W71" s="805">
        <f t="shared" ref="W71:W86" ca="1" si="162">IF(ISNUMBER(BS71),BS71,0)</f>
        <v>0</v>
      </c>
      <c r="X71" s="687" t="str">
        <f t="shared" ref="X71:X86" ca="1" si="163">IFERROR(S71-T71-V71-W71,"")</f>
        <v/>
      </c>
      <c r="Y71" s="805" t="str">
        <f t="shared" ref="Y71:Y86" ca="1" si="164">IFERROR((Q71/(R71+T71+V71)),"")</f>
        <v/>
      </c>
      <c r="Z71" s="687" t="str">
        <f t="shared" ref="Z71:Z86" ca="1" si="165">IF(ISNUMBER(CH71),CH71,"")</f>
        <v/>
      </c>
      <c r="AA71" s="767" t="str">
        <f t="shared" ref="AA71:AA86" ca="1" si="166">IF(ISNUMBER(CK71),CK71,IF(ISNUMBER(CL71),CL71,""))</f>
        <v/>
      </c>
      <c r="AB71" s="815"/>
      <c r="AC71" s="805"/>
      <c r="AD71" s="805"/>
      <c r="AE71" s="805"/>
      <c r="AF71" s="805"/>
      <c r="AG71" s="805"/>
      <c r="AH71" s="805"/>
      <c r="AI71" s="811"/>
      <c r="AJ71" s="784"/>
      <c r="AK71" s="805"/>
      <c r="AL71" s="805" t="str">
        <f t="shared" ref="AL71:AL86" ca="1" si="167">IFERROR(R16/AE51*100,"")</f>
        <v/>
      </c>
      <c r="AM71" s="805" t="e">
        <f ca="1">_xll.BDH($BD$1,AM70,$BJ$1,$BJ$2,"EQY_CONSOLIDATED="&amp;$CS$3,"Points="&amp;$BG$2,"Per="&amp;$BG$1,"Dir=V","Fill=b","Dts=H","FX="&amp;$BJ$4,"cols=1;rows=15")</f>
        <v>#NAME?</v>
      </c>
      <c r="AN71" s="805" t="e">
        <f ca="1">_xll.BDH($BD$1,AN70,$BJ$1,$BJ$2,"EQY_CONSOLIDATED="&amp;$CS$3,"Points="&amp;$BG$2,"Per="&amp;$BG$1,"Dir=V","Fill=b","Dts=H","FX="&amp;$BJ$4,"cols=1;rows=15")</f>
        <v>#NAME?</v>
      </c>
      <c r="AO71" s="805" t="str">
        <f t="shared" ref="AO71:AO86" ca="1" si="168">IFERROR(Q71/Q51*100,"")</f>
        <v/>
      </c>
      <c r="AP71" s="805" t="e">
        <f ca="1">_xll.BDH($BD$1,AP70,$BJ$1,$BJ$2,"EQY_CONSOLIDATED="&amp;$CS$3,"Points="&amp;$BG$2,"Per="&amp;$BG$1,"Dir=V","Fill=b","Dts=H","FX="&amp;$BJ$4,"cols=1;rows=15")</f>
        <v>#NAME?</v>
      </c>
      <c r="AQ71" s="805" t="str">
        <f t="shared" ref="AQ71:AQ86" ca="1" si="169">IFERROR(H16/O51*100,"")</f>
        <v/>
      </c>
      <c r="AR71" s="951" t="str">
        <f t="shared" ref="AR71:AR86" ca="1" si="170">IF(AND(ISNUMBER(F16),ISNUMBER(Q51)),F16/Q51*100,"")</f>
        <v/>
      </c>
      <c r="AS71" s="784" t="str">
        <f t="shared" ref="AS71:AS86" ca="1" si="171">IF(AND(ISNUMBER(L16),ISNUMBER(Q51)),L16/(Q51-DU51)*100,"")</f>
        <v/>
      </c>
      <c r="AU71" s="952">
        <f t="shared" ref="AU71:AU86" ca="1" si="172">IF(AND(ISNUMBER(Q71),ISNUMBER(R16)),Q71/R16,0)</f>
        <v>0</v>
      </c>
      <c r="AV71" s="953"/>
      <c r="AW71" s="953" t="str">
        <f t="shared" ref="AW71:AW86" ca="1" si="173">IFERROR(H16/(O51-T51)*100,"")</f>
        <v/>
      </c>
      <c r="AX71" s="48"/>
      <c r="AY71" s="209"/>
      <c r="AZ71" s="954"/>
      <c r="BC71" s="327" t="e">
        <f ca="1">_xll.BDH($BD$1,BC70,$BJ$1,$BJ$2,"EQY_CONSOLIDATED="&amp;$CS$3,"Points="&amp;$BG$2,"Per="&amp;$BG$1,"Dir=V","Fill=b","Dts=H","FX="&amp;$BJ$4,"scaling format",$BI$8,"cols=1;rows=15")</f>
        <v>#NAME?</v>
      </c>
      <c r="BD71" s="328" t="e">
        <f ca="1">_xll.BDH($BD$1,BD70,$BJ$1,$BJ$2,"EQY_CONSOLIDATED="&amp;$CS$3,"Points="&amp;$BG$2,"Per="&amp;$BG$1,"Dir=V","Fill=b","Dts=H","FX="&amp;$BJ$4,"scaling format",$BI$8,"cols=1;rows=15")</f>
        <v>#NAME?</v>
      </c>
      <c r="BE71" s="327" t="e">
        <f ca="1">_xll.BDH($BD$1,BE70,$BJ$1,$BJ$2,"EQY_CONSOLIDATED="&amp;$CS$3,"Points="&amp;$BG$2,"Per="&amp;$BG$1,"Dir=V","Fill=b","Dts=H","FX="&amp;$BJ$4,"scaling format",$BI$8,"cols=1;rows=15")</f>
        <v>#NAME?</v>
      </c>
      <c r="BF71" s="18" t="e">
        <f ca="1">_xll.BDH($BD$1,BF70,$BJ$1,$BJ$2,"EQY_CONSOLIDATED="&amp;$CS$3,"Points="&amp;$BG$2,"Per="&amp;$BG$1,"Dir=V","Fill=b","Dts=H","FX="&amp;$BJ$4,"scaling format",$BI$8,"cols=1;rows=15")</f>
        <v>#NAME?</v>
      </c>
      <c r="BG71" s="18" t="e">
        <f ca="1">_xll.BDH($BD$1,BG70,$BJ$1,$BJ$2,"EQY_CONSOLIDATED="&amp;$CS$3,"Points="&amp;$BG$2,"Per="&amp;$BG$1,"Dir=V","Fill=b","Dts=H","FX="&amp;$BJ$4,"scaling format",$BI$8,"cols=1;rows=15")</f>
        <v>#NAME?</v>
      </c>
      <c r="BH71" s="8" t="str">
        <f t="shared" ref="BH71:BH86" ca="1" si="174">IFERROR(IF(ABS(BE71)&gt;0,SUM(BE71:BG71),""),"")</f>
        <v/>
      </c>
      <c r="BI71" s="18" t="e">
        <f ca="1">_xll.BDH($BD$1,BI70,$BJ$1,$BJ$2,"EQY_CONSOLIDATED="&amp;$CS$3,"Points="&amp;$BG$2,"Per="&amp;$BG$1,"Dir=V","Fill=0","Dts=H","FX="&amp;$BJ$4,"scaling format",$BI$8)</f>
        <v>#NAME?</v>
      </c>
      <c r="BJ71" s="8" t="e">
        <f t="shared" ref="BJ71:BJ86" ca="1" si="175">BH71+BI71</f>
        <v>#VALUE!</v>
      </c>
      <c r="BK71" s="328" t="e">
        <f ca="1">_xll.BDH($BD$1,BK70,$BJ$1,$BJ$2,"EQY_CONSOLIDATED="&amp;$CS$3,"Points="&amp;$BG$2,"Per="&amp;$BG$1,"Dir=V","Fill=0","Dts=H","FX="&amp;$BJ$4,"scaling format",$BI$8,"cols=1;rows=15")</f>
        <v>#NAME?</v>
      </c>
      <c r="BL71" s="327" t="e">
        <f ca="1">_xll.BDH($BD$1,BL70,$BJ$1,$BJ$2,"EQY_CONSOLIDATED="&amp;$CS$3,"Points="&amp;$BG$2,"Per="&amp;$BG$1,"Dir=V","Fill=b","Dts=H","FX="&amp;$BJ$4,"scaling format",$BI$8,"cols=1;rows=15")</f>
        <v>#NAME?</v>
      </c>
      <c r="BM71" s="18" t="e">
        <f ca="1">_xll.BDH($BD$1,BM70,$BJ$1,$BJ$2,"EQY_CONSOLIDATED="&amp;$CS$3,"Points="&amp;$BG$2,"Per="&amp;$BG$1,"Dir=V","Fill=b","Dts=H","FX="&amp;$BJ$4,"scaling format",$BI$8,"cols=1;rows=15")</f>
        <v>#NAME?</v>
      </c>
      <c r="BN71" s="18"/>
      <c r="BO71" s="18"/>
      <c r="BP71" s="764" t="str">
        <f t="shared" ref="BP71:BP86" ca="1" si="176">IFERROR(IF(ABS(BM71)&gt;0,BL71+BM71+BN71+BO71,""),"")</f>
        <v/>
      </c>
      <c r="BQ71" s="820" t="e">
        <f ca="1">_xll.BDH($BD$1,BQ70,$BJ$1,$BJ$2,"EQY_CONSOLIDATED="&amp;$CS$3,"Points="&amp;$BG$2,"Per="&amp;$BG$1,"Dir=V","Dts=H","FX="&amp;$BJ$4,"scaling format",$BI$8,"cols=1;rows=15")</f>
        <v>#NAME?</v>
      </c>
      <c r="BR71" s="821" t="e">
        <f ca="1">_xll.BDH($BD$1,BR70,$BJ$1,$BJ$2,"EQY_CONSOLIDATED="&amp;$CS$3,"Points="&amp;$BG$2,"Per="&amp;$BG$1,"Dir=V","Dts=H","FX="&amp;$BJ$4,"scaling format",$BI$8,"cols=1;rows=15")</f>
        <v>#NAME?</v>
      </c>
      <c r="BS71" s="833" t="str">
        <f t="shared" ref="BS71:BS86" ca="1" si="177">IF(ISNUMBER(BQ71),-BQ71,IF(ISNUMBER(BR71),-BR71,""))</f>
        <v/>
      </c>
      <c r="BT71" s="820" t="e">
        <f ca="1">_xll.BDH($BD$1,BT70,$BJ$1,$BJ$2,"EQY_CONSOLIDATED="&amp;$CS$3,"Points="&amp;$BG$2,"Per="&amp;$BG$1,"Dir=V","Fill=b","Dts=H","FX="&amp;$BJ$4,"scaling format",$BI$8,"cols=1;rows=15")</f>
        <v>#NAME?</v>
      </c>
      <c r="BU71" s="821" t="e">
        <f ca="1">_xll.BDH($BD$1,BU70,$BJ$1,$BJ$2,"EQY_CONSOLIDATED="&amp;$CS$3,"Points="&amp;$BG$2,"Per="&amp;$BG$1,"Dir=V","Fill=b","Dts=H","FX="&amp;$BJ$4,"scaling format",$BI$8)</f>
        <v>#NAME?</v>
      </c>
      <c r="BV71" s="823">
        <f t="shared" ref="BV71:BV85" ca="1" si="178">IF(ISNUMBER(BT71),BT71,IF(ISNUMBER(BU71),BU71,0))</f>
        <v>0</v>
      </c>
      <c r="BW71" s="825" t="e">
        <f ca="1">_xll.BDH($BD$1,BW70,$BJ$1,$BJ$2,"EQY_CONSOLIDATED="&amp;$CS$3,"Points="&amp;$BG$2,"Per="&amp;$BG$1,"Dir=V","Fill=b","Dts=H","FX="&amp;$BJ$4,"scaling format",$BI$8,"cols=1;rows=15")</f>
        <v>#NAME?</v>
      </c>
      <c r="BX71" s="825" t="e">
        <f ca="1">_xll.BDH($BD$1,BX70,$BJ$1,$BJ$2,"EQY_CONSOLIDATED="&amp;$CS$3,"Points="&amp;$BG$2,"Per="&amp;$BG$1,"Dir=V","Fill=b","Dts=H","FX="&amp;$BJ$4,"scaling format",$BI$8)</f>
        <v>#NAME?</v>
      </c>
      <c r="BY71" s="955" t="str">
        <f t="shared" ref="BY71:BY85" ca="1" si="179">IF(ISNUMBER(BW71),BW71,IF(ISNUMBER(BX71),BX71,""))</f>
        <v/>
      </c>
      <c r="BZ71" s="825" t="e">
        <f ca="1">_xll.BDH($BD$1,BZ70,$BJ$1,$BJ$2,"EQY_CONSOLIDATED="&amp;$CS$3,"Points="&amp;$BG$2,"Per="&amp;$BG$1,"Dir=V","Fill=b","Dts=H","FX="&amp;$BJ$4,"scaling format",$BI$8,"cols=1;rows=15")</f>
        <v>#NAME?</v>
      </c>
      <c r="CA71" s="825" t="e">
        <f ca="1">_xll.BDH($BD$1,CA70,$BJ$1,$BJ$2,"EQY_CONSOLIDATED="&amp;$CS$3,"Points="&amp;$BG$2,"Per="&amp;$BG$1,"Dir=V","Fill=b","Dts=H","FX="&amp;$BJ$4,"scaling format",$BI$8)</f>
        <v>#NAME?</v>
      </c>
      <c r="CB71" s="955" t="str">
        <f t="shared" ref="CB71:CB85" ca="1" si="180">IF(ISNUMBER(BZ71),BZ71,IF(ISNUMBER(CA71),CA71,""))</f>
        <v/>
      </c>
      <c r="CC71" s="956" t="str">
        <f t="shared" ref="CC71:CC85" ca="1" si="181">IFERROR(BV71+BY71+CB71,"")</f>
        <v/>
      </c>
      <c r="CD71" s="825" t="e">
        <f ca="1">_xll.BDH($BD$1,CD70,$BJ$1,$BJ$2,"EQY_CONSOLIDATED="&amp;$CS$3,"Points="&amp;$BG$2,"Per="&amp;$BG$1,"Dir=V","Fill=b","Dts=H","FX="&amp;$BJ$4,"scaling format",$BI$8,"cols=1;rows=15")</f>
        <v>#NAME?</v>
      </c>
      <c r="CE71" s="825" t="e">
        <f ca="1">_xll.BDH($BD$1,CE70,$BJ$1,$BJ$2,"EQY_CONSOLIDATED="&amp;$CS$3,"Points="&amp;$BG$2,"Per="&amp;$BG$1,"Dir=V","Fill=b","Dts=H","FX="&amp;$BJ$4,"scaling format",$BI$8,"cols=1;rows=15")</f>
        <v>#NAME?</v>
      </c>
      <c r="CF71" s="823" t="str">
        <f t="shared" ref="CF71:CF85" ca="1" si="182">IF(ISNUMBER(CD71),-CD71,IF(ISNUMBER(CE71),CE71,""))</f>
        <v/>
      </c>
      <c r="CG71" s="957" t="str">
        <f t="shared" ref="CG71:CG85" ca="1" si="183">IF(ISNUMBER(CF71),CF71,IF(ISNUMBER(CC71),-CC71,""))</f>
        <v/>
      </c>
      <c r="CH71" s="33" t="e">
        <f ca="1">_xll.BDH($BD$1,CH70,$BJ$1,$BJ$2,"EQY_CONSOLIDATED="&amp;$CS$3,"Points="&amp;$BG$2,"Per="&amp;$BG$1,"Dir=V","Fill=b","Dts=H","FX="&amp;$BJ$4,"scaling format",$BI$8,"cols=1;rows=15")</f>
        <v>#NAME?</v>
      </c>
      <c r="CI71" s="327" t="e">
        <f ca="1">_xll.BDH($BD$1,CI70,$BJ$1,$BJ$2,"EQY_CONSOLIDATED="&amp;$CS$3,"Points="&amp;$BG$2,"Per="&amp;$BG$1,"Dir=V","Fill=b","Dts=H","FX="&amp;$BJ$4,"scaling format",$BI$8,"cols=1;rows=15")</f>
        <v>#NAME?</v>
      </c>
      <c r="CJ71" s="18" t="e">
        <f ca="1">_xll.BDH($BD$1,CJ70,$BJ$1,$BJ$2,"EQY_CONSOLIDATED="&amp;$CS$3,"Points="&amp;$BG$2,"Per="&amp;$BG$1,"Dir=V","Fill=b","Dts=H","FX="&amp;$BJ$4,"scaling format",$BI$8,"cols=1;rows=15")</f>
        <v>#NAME?</v>
      </c>
      <c r="CK71" s="38" t="e">
        <f t="shared" ref="CK71:CK86" ca="1" si="184">SUM(CI71:CJ71)</f>
        <v>#NAME?</v>
      </c>
      <c r="CL71" s="328" t="e">
        <f ca="1">_xll.BDH($BD$1,CL70,$BJ$1,$BJ$2,"EQY_CONSOLIDATED="&amp;$CS$3,"Points="&amp;$BG$2,"Per="&amp;$BG$1,"Dir=V","Fill=b","Dts=H","FX="&amp;$BJ$4,"scaling format",$BI$8,"cols=1;rows=15")</f>
        <v>#NAME?</v>
      </c>
      <c r="CM71" s="432">
        <v>1</v>
      </c>
      <c r="CN71" s="433">
        <v>31</v>
      </c>
      <c r="CO71" s="338" t="e">
        <f t="array" aca="1" ref="CO71" ca="1">_xll.BDP($BD$1,"trail 12m net sales","eqy fund relative period=-4fq","scaling format",$BI$8)</f>
        <v>#NAME?</v>
      </c>
      <c r="CP71" t="e">
        <f ca="1">(B31-CO71)/ABS(CO71)*100</f>
        <v>#NAME?</v>
      </c>
      <c r="CR71" t="e">
        <f t="array" aca="1" ref="CR71" ca="1">_xll.BDP($BD$1,"trail 12m oper inc","eqy fund relative period=-4fq","scaling format",$BI$8)</f>
        <v>#NAME?</v>
      </c>
      <c r="CS71" t="e">
        <f ca="1">(H31-CR71)/ABS(CR71)*100</f>
        <v>#NAME?</v>
      </c>
      <c r="CU71" t="e">
        <f t="array" aca="1" ref="CU71" ca="1">_xll.BDP($BD$1,"trail 12m diluted eps","eqy fund relative period=-4fq")</f>
        <v>#NAME?</v>
      </c>
      <c r="CV71" t="e">
        <f ca="1">(T31-CU71)/ABS(CU71)*100</f>
        <v>#VALUE!</v>
      </c>
      <c r="DB71" s="765"/>
      <c r="DC71" s="338" t="e">
        <f t="array" aca="1" ref="DC71" ca="1">_xll.BDP($BD$1,"bs acct note rcv","eqy fund relative period=-4fq","scaling format",$BI$8)</f>
        <v>#NAME?</v>
      </c>
      <c r="DD71" t="e">
        <f ca="1">CO71/DC71</f>
        <v>#NAME?</v>
      </c>
      <c r="DF71" t="e">
        <f t="array" aca="1" ref="DF71" ca="1">_xll.BDP($BD$1,"bs net fix asset","eqy fund relative period=-4fq","scaling format",$BI$8)</f>
        <v>#NAME?</v>
      </c>
      <c r="DG71" t="e">
        <f ca="1">CO71/DF71</f>
        <v>#NAME?</v>
      </c>
      <c r="DI71" s="953" t="e">
        <f t="array" aca="1" ref="DI71" ca="1">_xll.BDP($BD$1,"is over underfund pension exp","eqy fund relative period","-0fq","eqy consolidated="&amp;$CS$3,"eqy fund crncy="&amp;$BJ$4,"scaling format",$BI$8)</f>
        <v>#NAME?</v>
      </c>
      <c r="DJ71" s="953" t="e">
        <f t="array" aca="1" ref="DJ71" ca="1">_xll.BDP($BD$1,"is over underfunded post retirem","eqy fund relative period","-0fq","eqy consolidated="&amp;$CS$3,"eqy fund crncy="&amp;$BJ$4,"scaling format",$BI$8)</f>
        <v>#NAME?</v>
      </c>
      <c r="DO71" s="765"/>
      <c r="DX71" t="s">
        <v>1118</v>
      </c>
      <c r="DY71" s="2" t="s">
        <v>1119</v>
      </c>
      <c r="DZ71" s="695">
        <v>0.15</v>
      </c>
    </row>
    <row r="72" spans="1:130" ht="16" customHeight="1">
      <c r="A72" s="831">
        <f t="shared" si="145"/>
        <v>40543</v>
      </c>
      <c r="B72" s="815">
        <f t="shared" si="146"/>
        <v>4.0400032214270922</v>
      </c>
      <c r="C72" s="805">
        <f t="shared" si="147"/>
        <v>4.4298401645031475</v>
      </c>
      <c r="D72" s="805">
        <f t="shared" si="148"/>
        <v>2.6827511385283023</v>
      </c>
      <c r="E72" s="805">
        <f t="shared" si="149"/>
        <v>13.489128764597419</v>
      </c>
      <c r="F72" s="805">
        <f t="shared" si="150"/>
        <v>1.2488450417705448</v>
      </c>
      <c r="G72" s="784">
        <f t="shared" si="151"/>
        <v>1.6375392306365044</v>
      </c>
      <c r="H72" s="815" t="str">
        <f t="shared" ca="1" si="144"/>
        <v/>
      </c>
      <c r="I72" s="805" t="str">
        <f t="shared" ref="I72:I85" ca="1" si="185">IFERROR((C72/C71-1)*100,"")</f>
        <v/>
      </c>
      <c r="J72" s="805" t="str">
        <f t="shared" ref="J72:J85" ca="1" si="186">IFERROR((E72/E71-1)*100,"")</f>
        <v/>
      </c>
      <c r="K72" s="805" t="str">
        <f t="shared" ref="K72:K85" ca="1" si="187">IFERROR((F72/F71-1)*100,"")</f>
        <v/>
      </c>
      <c r="L72" s="784" t="str">
        <f t="shared" ref="L72:L85" ca="1" si="188">IFERROR((G72/G71-1)*100,"")</f>
        <v/>
      </c>
      <c r="M72" s="805">
        <f t="shared" si="152"/>
        <v>-1667.8321678321681</v>
      </c>
      <c r="N72" s="687">
        <f t="shared" si="153"/>
        <v>92.95791030391652</v>
      </c>
      <c r="O72" s="687">
        <f t="shared" si="154"/>
        <v>26.02255799106193</v>
      </c>
      <c r="P72" s="805">
        <f t="shared" si="155"/>
        <v>8.6899999999999977</v>
      </c>
      <c r="Q72" s="74">
        <f t="shared" si="156"/>
        <v>55.942999999999998</v>
      </c>
      <c r="R72" s="687">
        <f t="shared" si="157"/>
        <v>43.714999999999996</v>
      </c>
      <c r="S72" s="687">
        <f t="shared" si="158"/>
        <v>12.228</v>
      </c>
      <c r="T72" s="687">
        <f t="shared" si="159"/>
        <v>6.6259999999999994</v>
      </c>
      <c r="U72" s="805">
        <f t="shared" si="160"/>
        <v>1.8869482755183697</v>
      </c>
      <c r="V72" s="687">
        <f t="shared" si="161"/>
        <v>0</v>
      </c>
      <c r="W72" s="805">
        <f t="shared" si="162"/>
        <v>0</v>
      </c>
      <c r="X72" s="687">
        <f t="shared" si="163"/>
        <v>5.6020000000000003</v>
      </c>
      <c r="Y72" s="805">
        <f t="shared" si="164"/>
        <v>1.1112810631493217</v>
      </c>
      <c r="Z72" s="687">
        <f t="shared" si="165"/>
        <v>0</v>
      </c>
      <c r="AA72" s="767">
        <f t="shared" si="166"/>
        <v>0</v>
      </c>
      <c r="AB72" s="815">
        <f t="shared" ref="AB72:AB85" si="189">IF(AND(ISNUMBER(B17),ISNUMBER(B16)),IFERROR((B17-B16)/ABS(B16)*100,""),"")</f>
        <v>137.43770750079452</v>
      </c>
      <c r="AC72" s="805" t="str">
        <f t="shared" ref="AC72:AC85" ca="1" si="190">IFERROR((BD72-BD71)/ABS(BD71)*100,"")</f>
        <v/>
      </c>
      <c r="AD72" s="805" t="str">
        <f t="shared" ref="AD72:AD85" ca="1" si="191">IFERROR((F17-F16)/ABS(F16)*100,"")</f>
        <v/>
      </c>
      <c r="AE72" s="805" t="str">
        <f t="shared" ref="AE72:AE85" ca="1" si="192">IFERROR((H17-H16)/ABS(H16)*100,"")</f>
        <v/>
      </c>
      <c r="AF72" s="805" t="str">
        <f t="shared" ref="AF72:AF85" ca="1" si="193">IFERROR((L17-L16)/ABS(L16)*100,"")</f>
        <v/>
      </c>
      <c r="AG72" s="805" t="str">
        <f t="shared" ref="AG72:AG85" ca="1" si="194">IFERROR((R17-R16)/ABS(R16)*100,"")</f>
        <v/>
      </c>
      <c r="AH72" s="805" t="str">
        <f t="shared" ref="AH72:AH85" ca="1" si="195">IFERROR((T17-T16)/ABS(T16)*100,"")</f>
        <v/>
      </c>
      <c r="AI72" s="811" t="str">
        <f t="shared" ref="AI72:AI85" ca="1" si="196">IFERROR((AI52/AI51-1)*100,"")</f>
        <v/>
      </c>
      <c r="AJ72" s="784" t="str">
        <f t="shared" ref="AJ72:AJ85" ca="1" si="197">IFERROR((Q72-Q71)/ABS(Q71)*100,"")</f>
        <v/>
      </c>
      <c r="AK72" s="805" t="str">
        <f t="shared" ref="AK72:AK86" ca="1" si="198">IFERROR(R17/AE51*100,"")</f>
        <v/>
      </c>
      <c r="AL72" s="805">
        <f t="shared" si="167"/>
        <v>21.530947013434506</v>
      </c>
      <c r="AM72" s="805">
        <v>21.7439</v>
      </c>
      <c r="AN72" s="805">
        <v>33.936500000000002</v>
      </c>
      <c r="AO72" s="805">
        <f t="shared" si="168"/>
        <v>26.088314982955374</v>
      </c>
      <c r="AP72" s="805">
        <v>15.157500000000001</v>
      </c>
      <c r="AQ72" s="805">
        <f t="shared" si="169"/>
        <v>17.731053883824895</v>
      </c>
      <c r="AR72" s="951">
        <f t="shared" si="170"/>
        <v>28.064653021633397</v>
      </c>
      <c r="AS72" s="784">
        <f t="shared" si="171"/>
        <v>22.102528947896126</v>
      </c>
      <c r="AU72" s="952">
        <f t="shared" si="172"/>
        <v>1.1905298999787188</v>
      </c>
      <c r="AV72" s="953" t="str">
        <f t="shared" ref="AV72:AV86" ca="1" si="199">IFERROR((AZ52/AZ51-1)*100,"")</f>
        <v/>
      </c>
      <c r="AW72" s="953">
        <f t="shared" si="173"/>
        <v>20.899338930971318</v>
      </c>
      <c r="AX72" s="48"/>
      <c r="AY72" s="209"/>
      <c r="AZ72" s="954" t="str">
        <f t="shared" ref="AZ72:AZ85" ca="1" si="200">IFERROR((D72/D71-1)*100,"")</f>
        <v/>
      </c>
      <c r="BC72" s="327">
        <v>212.65899999999999</v>
      </c>
      <c r="BD72" s="328">
        <v>138.49</v>
      </c>
      <c r="BE72" s="327">
        <v>46.99</v>
      </c>
      <c r="BF72" s="8">
        <v>10.324999999999999</v>
      </c>
      <c r="BG72" s="8">
        <v>-1.3720000000000001</v>
      </c>
      <c r="BH72" s="8">
        <f t="shared" si="174"/>
        <v>55.942999999999998</v>
      </c>
      <c r="BI72" s="8"/>
      <c r="BJ72" s="8">
        <f t="shared" si="175"/>
        <v>55.942999999999998</v>
      </c>
      <c r="BK72" s="328">
        <v>12.228</v>
      </c>
      <c r="BL72" s="327">
        <v>0.38700000000000001</v>
      </c>
      <c r="BM72" s="8">
        <v>-7.0129999999999999</v>
      </c>
      <c r="BN72" s="8"/>
      <c r="BO72" s="8"/>
      <c r="BP72" s="764">
        <f t="shared" si="176"/>
        <v>-6.6259999999999994</v>
      </c>
      <c r="BQ72" s="820">
        <v>0</v>
      </c>
      <c r="BR72" s="821" t="s">
        <v>1120</v>
      </c>
      <c r="BS72" s="833">
        <f t="shared" si="177"/>
        <v>0</v>
      </c>
      <c r="BT72" s="820">
        <v>0</v>
      </c>
      <c r="BU72" s="821"/>
      <c r="BV72" s="823">
        <f t="shared" si="178"/>
        <v>0</v>
      </c>
      <c r="BW72" s="821">
        <v>0</v>
      </c>
      <c r="BX72" s="821"/>
      <c r="BY72" s="823">
        <f t="shared" si="179"/>
        <v>0</v>
      </c>
      <c r="BZ72" s="821">
        <v>0</v>
      </c>
      <c r="CA72" s="821"/>
      <c r="CB72" s="823">
        <f t="shared" si="180"/>
        <v>0</v>
      </c>
      <c r="CC72" s="958">
        <f t="shared" si="181"/>
        <v>0</v>
      </c>
      <c r="CD72" s="821">
        <v>0</v>
      </c>
      <c r="CE72" s="821">
        <v>0</v>
      </c>
      <c r="CF72" s="823">
        <f t="shared" si="182"/>
        <v>0</v>
      </c>
      <c r="CG72" s="957">
        <f t="shared" si="183"/>
        <v>0</v>
      </c>
      <c r="CH72" s="33">
        <v>0</v>
      </c>
      <c r="CI72" s="327">
        <v>0</v>
      </c>
      <c r="CJ72" s="8">
        <v>0</v>
      </c>
      <c r="CK72" s="684">
        <f t="shared" si="184"/>
        <v>0</v>
      </c>
      <c r="CL72" s="328">
        <v>0</v>
      </c>
      <c r="CM72" s="339">
        <v>2</v>
      </c>
      <c r="CN72" s="340">
        <v>28</v>
      </c>
      <c r="CO72" s="338" t="e">
        <f t="array" aca="1" ref="CO72" ca="1">_xll.BDP($BD$1,"trail 12m net sales","eqy fund relative period=-2fs","scaling format",$BI$8)</f>
        <v>#NAME?</v>
      </c>
      <c r="CP72" t="e">
        <f ca="1">(B31-CO72)/ABS(CO72)*100</f>
        <v>#NAME?</v>
      </c>
      <c r="CR72" t="e">
        <f t="array" aca="1" ref="CR72" ca="1">_xll.BDP($BD$1,"trail 12m oper inc","eqy fund relative period=-2fs","scaling format",$BI$8)</f>
        <v>#NAME?</v>
      </c>
      <c r="CS72" t="e">
        <f ca="1">(H31-CR72)/ABS(CR72)*100</f>
        <v>#NAME?</v>
      </c>
      <c r="CU72" t="e">
        <f t="array" aca="1" ref="CU72" ca="1">_xll.BDP($BD$1,"trail 12m diluted eps","eqy fund relative period=-2fs")</f>
        <v>#NAME?</v>
      </c>
      <c r="CV72" t="e">
        <f ca="1">(T31-CU72)/ABS(CU72)*100</f>
        <v>#VALUE!</v>
      </c>
      <c r="DB72" s="765"/>
      <c r="DC72" s="338" t="e">
        <f t="array" aca="1" ref="DC72" ca="1">_xll.BDP($BD$1,"bs acct note rcv","eqy fund relative period=-2fs","scaling format",$BI$8)</f>
        <v>#NAME?</v>
      </c>
      <c r="DD72" t="e">
        <f ca="1">CO72/DC72</f>
        <v>#NAME?</v>
      </c>
      <c r="DF72" t="e">
        <f t="array" aca="1" ref="DF72" ca="1">_xll.BDP($BD$1,"bs net fix asset","eqy fund relative period=-2fs","scaling format",$BI$8)</f>
        <v>#NAME?</v>
      </c>
      <c r="DG72" t="e">
        <f ca="1">CO72/DF72</f>
        <v>#NAME?</v>
      </c>
      <c r="DI72" s="953" t="e">
        <f t="array" aca="1" ref="DI72" ca="1">_xll.BDP($BD$1,"is over underfund pension exp","eqy fund relative period","-0fs","eqy consolidated="&amp;$CS$3,"eqy fund crncy="&amp;$BJ$4,"scaling format",$BI$8)</f>
        <v>#NAME?</v>
      </c>
      <c r="DJ72" s="953" t="e">
        <f t="array" aca="1" ref="DJ72" ca="1">_xll.BDP($BD$1,"is over underfunded post retirem","eqy fund relative period","-0fs","eqy consolidated="&amp;$CS$3,"eqy fund crncy="&amp;$BJ$4,"scaling format",$BI$8)</f>
        <v>#NAME?</v>
      </c>
      <c r="DO72" s="765"/>
      <c r="DX72" t="s">
        <v>1121</v>
      </c>
      <c r="DY72" s="2" t="s">
        <v>1122</v>
      </c>
      <c r="DZ72" s="695">
        <v>0.16500000000000001</v>
      </c>
    </row>
    <row r="73" spans="1:130" ht="16" customHeight="1">
      <c r="A73" s="831">
        <f t="shared" si="145"/>
        <v>40908</v>
      </c>
      <c r="B73" s="815">
        <f t="shared" si="146"/>
        <v>4.8892129151898542</v>
      </c>
      <c r="C73" s="805">
        <f t="shared" si="147"/>
        <v>4.4572040137427065</v>
      </c>
      <c r="D73" s="805">
        <f t="shared" si="148"/>
        <v>2.6750286306375091</v>
      </c>
      <c r="E73" s="805">
        <f t="shared" si="149"/>
        <v>12.334075303704822</v>
      </c>
      <c r="F73" s="805">
        <f t="shared" si="150"/>
        <v>1.2505288202240743</v>
      </c>
      <c r="G73" s="784">
        <f t="shared" si="151"/>
        <v>1.7247442640766861</v>
      </c>
      <c r="H73" s="815">
        <f t="shared" si="144"/>
        <v>21.020025163811297</v>
      </c>
      <c r="I73" s="805">
        <f t="shared" si="185"/>
        <v>0.61771640112049386</v>
      </c>
      <c r="J73" s="805">
        <f t="shared" si="186"/>
        <v>-8.5628470233308658</v>
      </c>
      <c r="K73" s="805">
        <f t="shared" si="187"/>
        <v>0.13482685178798359</v>
      </c>
      <c r="L73" s="784">
        <f t="shared" si="188"/>
        <v>5.3253706420386404</v>
      </c>
      <c r="M73" s="805">
        <f t="shared" si="152"/>
        <v>73.296314992428051</v>
      </c>
      <c r="N73" s="687">
        <f t="shared" si="153"/>
        <v>100.36850186444394</v>
      </c>
      <c r="O73" s="687">
        <f t="shared" si="154"/>
        <v>186.05396740582418</v>
      </c>
      <c r="P73" s="805">
        <f t="shared" si="155"/>
        <v>19.330999999999996</v>
      </c>
      <c r="Q73" s="74">
        <f t="shared" si="156"/>
        <v>45.757999999999996</v>
      </c>
      <c r="R73" s="687">
        <f t="shared" si="157"/>
        <v>-2.990000000000002</v>
      </c>
      <c r="S73" s="687">
        <f t="shared" si="158"/>
        <v>48.747999999999998</v>
      </c>
      <c r="T73" s="687">
        <f t="shared" si="159"/>
        <v>7.3340000000000005</v>
      </c>
      <c r="U73" s="805">
        <f t="shared" si="160"/>
        <v>2.2433142566995077</v>
      </c>
      <c r="V73" s="687">
        <f t="shared" si="161"/>
        <v>0</v>
      </c>
      <c r="W73" s="805">
        <f t="shared" si="162"/>
        <v>0</v>
      </c>
      <c r="X73" s="687">
        <f t="shared" si="163"/>
        <v>41.413999999999994</v>
      </c>
      <c r="Y73" s="805">
        <f t="shared" si="164"/>
        <v>10.533609576427258</v>
      </c>
      <c r="Z73" s="687">
        <f t="shared" si="165"/>
        <v>-5.0970000000000004</v>
      </c>
      <c r="AA73" s="767">
        <f t="shared" si="166"/>
        <v>-15.106999999999999</v>
      </c>
      <c r="AB73" s="815">
        <f t="shared" si="189"/>
        <v>-6.8979265212203309</v>
      </c>
      <c r="AC73" s="805">
        <f t="shared" si="190"/>
        <v>-5.6112354682648666</v>
      </c>
      <c r="AD73" s="805">
        <f t="shared" si="191"/>
        <v>-24.245193665774902</v>
      </c>
      <c r="AE73" s="805">
        <f t="shared" si="192"/>
        <v>-30.939104621309376</v>
      </c>
      <c r="AF73" s="805">
        <f t="shared" si="193"/>
        <v>-27.523419697864803</v>
      </c>
      <c r="AG73" s="805">
        <f t="shared" si="194"/>
        <v>-44.24132794211534</v>
      </c>
      <c r="AH73" s="805">
        <f t="shared" si="195"/>
        <v>-41.6</v>
      </c>
      <c r="AI73" s="811" t="str">
        <f t="shared" ca="1" si="196"/>
        <v/>
      </c>
      <c r="AJ73" s="784">
        <f t="shared" si="197"/>
        <v>-18.206031138837751</v>
      </c>
      <c r="AK73" s="805">
        <f t="shared" si="198"/>
        <v>12.005370136177856</v>
      </c>
      <c r="AL73" s="805">
        <f t="shared" si="167"/>
        <v>10.241366505755662</v>
      </c>
      <c r="AM73" s="805">
        <v>12.9056</v>
      </c>
      <c r="AN73" s="805">
        <v>19.861599999999999</v>
      </c>
      <c r="AO73" s="805">
        <f t="shared" si="168"/>
        <v>24.140205010788645</v>
      </c>
      <c r="AP73" s="805">
        <v>7.4923999999999999</v>
      </c>
      <c r="AQ73" s="805">
        <f t="shared" si="169"/>
        <v>13.170205522680934</v>
      </c>
      <c r="AR73" s="951">
        <f t="shared" si="170"/>
        <v>24.051574510290102</v>
      </c>
      <c r="AS73" s="784">
        <f t="shared" si="171"/>
        <v>18.122299539437929</v>
      </c>
      <c r="AU73" s="952">
        <f t="shared" si="172"/>
        <v>1.746421892294187</v>
      </c>
      <c r="AV73" s="953" t="str">
        <f t="shared" ca="1" si="199"/>
        <v/>
      </c>
      <c r="AW73" s="953">
        <f t="shared" si="173"/>
        <v>14.343022819865528</v>
      </c>
      <c r="AX73" s="48"/>
      <c r="AY73" s="209"/>
      <c r="AZ73" s="954">
        <f t="shared" si="200"/>
        <v>-0.28785778076417801</v>
      </c>
      <c r="BC73" s="327">
        <v>196.208</v>
      </c>
      <c r="BD73" s="328">
        <v>130.71899999999999</v>
      </c>
      <c r="BE73" s="327">
        <v>26.201000000000001</v>
      </c>
      <c r="BF73" s="8">
        <v>11.159000000000001</v>
      </c>
      <c r="BG73" s="8">
        <v>8.3979999999999997</v>
      </c>
      <c r="BH73" s="8">
        <f t="shared" si="174"/>
        <v>45.757999999999996</v>
      </c>
      <c r="BI73" s="8"/>
      <c r="BJ73" s="8">
        <f t="shared" si="175"/>
        <v>45.757999999999996</v>
      </c>
      <c r="BK73" s="328">
        <v>48.747999999999998</v>
      </c>
      <c r="BL73" s="327">
        <v>8.4000000000000005E-2</v>
      </c>
      <c r="BM73" s="8">
        <v>-7.4180000000000001</v>
      </c>
      <c r="BN73" s="8"/>
      <c r="BO73" s="8"/>
      <c r="BP73" s="764">
        <f t="shared" si="176"/>
        <v>-7.3340000000000005</v>
      </c>
      <c r="BQ73" s="820">
        <v>0</v>
      </c>
      <c r="BR73" s="821" t="s">
        <v>1120</v>
      </c>
      <c r="BS73" s="833">
        <f t="shared" si="177"/>
        <v>0</v>
      </c>
      <c r="BT73" s="820">
        <v>0</v>
      </c>
      <c r="BU73" s="821"/>
      <c r="BV73" s="823">
        <f t="shared" si="178"/>
        <v>0</v>
      </c>
      <c r="BW73" s="821">
        <v>0</v>
      </c>
      <c r="BX73" s="821"/>
      <c r="BY73" s="823">
        <f t="shared" si="179"/>
        <v>0</v>
      </c>
      <c r="BZ73" s="821">
        <v>0</v>
      </c>
      <c r="CA73" s="821"/>
      <c r="CB73" s="823">
        <f t="shared" si="180"/>
        <v>0</v>
      </c>
      <c r="CC73" s="958">
        <f t="shared" si="181"/>
        <v>0</v>
      </c>
      <c r="CD73" s="821">
        <v>0</v>
      </c>
      <c r="CE73" s="821"/>
      <c r="CF73" s="823">
        <f t="shared" si="182"/>
        <v>0</v>
      </c>
      <c r="CG73" s="957">
        <f t="shared" si="183"/>
        <v>0</v>
      </c>
      <c r="CH73" s="33">
        <v>-5.0970000000000004</v>
      </c>
      <c r="CI73" s="327">
        <v>0</v>
      </c>
      <c r="CJ73" s="8">
        <v>-15.106999999999999</v>
      </c>
      <c r="CK73" s="684">
        <f t="shared" si="184"/>
        <v>-15.106999999999999</v>
      </c>
      <c r="CL73" s="328">
        <v>-15.106999999999999</v>
      </c>
      <c r="CM73" s="339">
        <v>3</v>
      </c>
      <c r="CN73" s="340">
        <v>31</v>
      </c>
      <c r="CO73" s="338"/>
      <c r="DB73" s="765"/>
      <c r="DC73" s="338"/>
      <c r="DD73" s="45" t="str">
        <f ca="1">IF(ISNUMBER(DD71),DD71,IF(ISNUMBER(DD72),DD72,""))</f>
        <v/>
      </c>
      <c r="DG73" s="45" t="str">
        <f ca="1">IF(ISNUMBER(DG71),DG71,IF(ISNUMBER(DG72),DG72,""))</f>
        <v/>
      </c>
      <c r="DO73" s="765"/>
      <c r="DX73" t="s">
        <v>1123</v>
      </c>
      <c r="DY73" s="2" t="s">
        <v>1124</v>
      </c>
      <c r="DZ73" s="695">
        <v>0.15</v>
      </c>
    </row>
    <row r="74" spans="1:130" ht="16" customHeight="1">
      <c r="A74" s="831">
        <f t="shared" si="145"/>
        <v>41274</v>
      </c>
      <c r="B74" s="815">
        <f t="shared" si="146"/>
        <v>4.6554187359684338</v>
      </c>
      <c r="C74" s="805">
        <f t="shared" si="147"/>
        <v>3.94392173248995</v>
      </c>
      <c r="D74" s="805">
        <f t="shared" si="148"/>
        <v>2.3775773381554108</v>
      </c>
      <c r="E74" s="805">
        <f t="shared" si="149"/>
        <v>10.503050535282608</v>
      </c>
      <c r="F74" s="805">
        <f t="shared" si="150"/>
        <v>1.0648760523490144</v>
      </c>
      <c r="G74" s="784">
        <f t="shared" si="151"/>
        <v>1.5178670452276914</v>
      </c>
      <c r="H74" s="815">
        <f t="shared" si="144"/>
        <v>-4.7818367348058448</v>
      </c>
      <c r="I74" s="805">
        <f t="shared" si="185"/>
        <v>-11.515790609318643</v>
      </c>
      <c r="J74" s="805">
        <f t="shared" si="186"/>
        <v>-14.845253684094374</v>
      </c>
      <c r="K74" s="805">
        <f t="shared" si="187"/>
        <v>-14.845940763028075</v>
      </c>
      <c r="L74" s="784">
        <f t="shared" si="188"/>
        <v>-11.994660493029274</v>
      </c>
      <c r="M74" s="805">
        <f t="shared" si="152"/>
        <v>-3.515834675254971</v>
      </c>
      <c r="N74" s="687">
        <f t="shared" si="153"/>
        <v>84.51256405507192</v>
      </c>
      <c r="O74" s="687">
        <f t="shared" si="154"/>
        <v>251.63918650157183</v>
      </c>
      <c r="P74" s="805">
        <f t="shared" si="155"/>
        <v>11.588999999999999</v>
      </c>
      <c r="Q74" s="74">
        <f t="shared" si="156"/>
        <v>27.376999999999999</v>
      </c>
      <c r="R74" s="687">
        <f t="shared" si="157"/>
        <v>-11.846</v>
      </c>
      <c r="S74" s="687">
        <f t="shared" si="158"/>
        <v>39.222999999999999</v>
      </c>
      <c r="T74" s="687">
        <f t="shared" si="159"/>
        <v>4.9489999999999998</v>
      </c>
      <c r="U74" s="805">
        <f t="shared" si="160"/>
        <v>1.8080520239660964</v>
      </c>
      <c r="V74" s="687">
        <f t="shared" si="161"/>
        <v>0</v>
      </c>
      <c r="W74" s="805">
        <f t="shared" si="162"/>
        <v>0</v>
      </c>
      <c r="X74" s="687">
        <f t="shared" si="163"/>
        <v>34.274000000000001</v>
      </c>
      <c r="Y74" s="805">
        <f t="shared" si="164"/>
        <v>-3.9694069885457441</v>
      </c>
      <c r="Z74" s="687">
        <f t="shared" si="165"/>
        <v>-5.093</v>
      </c>
      <c r="AA74" s="767">
        <f t="shared" si="166"/>
        <v>-0.89900000000000002</v>
      </c>
      <c r="AB74" s="815">
        <f t="shared" si="189"/>
        <v>-16.274887054296521</v>
      </c>
      <c r="AC74" s="805">
        <f t="shared" si="190"/>
        <v>-16.837644106824555</v>
      </c>
      <c r="AD74" s="805">
        <f t="shared" si="191"/>
        <v>-28.944944066681298</v>
      </c>
      <c r="AE74" s="805">
        <f t="shared" si="192"/>
        <v>-39.542853823589205</v>
      </c>
      <c r="AF74" s="805">
        <f t="shared" si="193"/>
        <v>-43.192337923204569</v>
      </c>
      <c r="AG74" s="805">
        <f t="shared" si="194"/>
        <v>-40.50990420212969</v>
      </c>
      <c r="AH74" s="687">
        <f t="shared" si="195"/>
        <v>-42.465753424657535</v>
      </c>
      <c r="AI74" s="811" t="str">
        <f t="shared" ca="1" si="196"/>
        <v/>
      </c>
      <c r="AJ74" s="784">
        <f t="shared" si="197"/>
        <v>-40.170024913676293</v>
      </c>
      <c r="AK74" s="805">
        <f t="shared" si="198"/>
        <v>6.0925987452850467</v>
      </c>
      <c r="AL74" s="805">
        <f t="shared" si="167"/>
        <v>5.9087773035019753</v>
      </c>
      <c r="AM74" s="805">
        <v>7.3608000000000002</v>
      </c>
      <c r="AN74" s="805">
        <v>11.0037</v>
      </c>
      <c r="AO74" s="805">
        <f t="shared" si="168"/>
        <v>15.181443116030433</v>
      </c>
      <c r="AP74" s="805">
        <v>4.3764000000000003</v>
      </c>
      <c r="AQ74" s="805">
        <f t="shared" si="169"/>
        <v>8.0982244285025136</v>
      </c>
      <c r="AR74" s="951">
        <f t="shared" si="170"/>
        <v>17.963533926313687</v>
      </c>
      <c r="AS74" s="784">
        <f t="shared" si="171"/>
        <v>10.821152097242862</v>
      </c>
      <c r="AU74" s="952">
        <f t="shared" si="172"/>
        <v>1.7563995637390133</v>
      </c>
      <c r="AV74" s="953" t="str">
        <f t="shared" ca="1" si="199"/>
        <v/>
      </c>
      <c r="AW74" s="953">
        <f t="shared" si="173"/>
        <v>8.9326021095634118</v>
      </c>
      <c r="AX74" s="48"/>
      <c r="AY74" s="209"/>
      <c r="AZ74" s="954">
        <f t="shared" si="200"/>
        <v>-11.119555472242181</v>
      </c>
      <c r="BC74" s="327">
        <v>165.011</v>
      </c>
      <c r="BD74" s="328">
        <v>108.709</v>
      </c>
      <c r="BE74" s="327">
        <v>15.587</v>
      </c>
      <c r="BF74" s="8">
        <v>11.577999999999999</v>
      </c>
      <c r="BG74" s="8">
        <v>0.21199999999999999</v>
      </c>
      <c r="BH74" s="8">
        <f t="shared" si="174"/>
        <v>27.376999999999999</v>
      </c>
      <c r="BI74" s="8"/>
      <c r="BJ74" s="8">
        <f t="shared" si="175"/>
        <v>27.376999999999999</v>
      </c>
      <c r="BK74" s="328">
        <v>39.222999999999999</v>
      </c>
      <c r="BL74" s="327">
        <v>0</v>
      </c>
      <c r="BM74" s="8">
        <v>-4.9489999999999998</v>
      </c>
      <c r="BN74" s="8"/>
      <c r="BO74" s="8"/>
      <c r="BP74" s="764">
        <f t="shared" si="176"/>
        <v>-4.9489999999999998</v>
      </c>
      <c r="BQ74" s="820">
        <v>0</v>
      </c>
      <c r="BR74" s="821" t="s">
        <v>1120</v>
      </c>
      <c r="BS74" s="833">
        <f t="shared" si="177"/>
        <v>0</v>
      </c>
      <c r="BT74" s="820">
        <v>0</v>
      </c>
      <c r="BU74" s="821"/>
      <c r="BV74" s="823">
        <f t="shared" si="178"/>
        <v>0</v>
      </c>
      <c r="BW74" s="821">
        <v>0</v>
      </c>
      <c r="BX74" s="821"/>
      <c r="BY74" s="823">
        <f t="shared" si="179"/>
        <v>0</v>
      </c>
      <c r="BZ74" s="821">
        <v>0</v>
      </c>
      <c r="CA74" s="821"/>
      <c r="CB74" s="823">
        <f t="shared" si="180"/>
        <v>0</v>
      </c>
      <c r="CC74" s="958">
        <f t="shared" si="181"/>
        <v>0</v>
      </c>
      <c r="CD74" s="821">
        <v>0</v>
      </c>
      <c r="CE74" s="821"/>
      <c r="CF74" s="823">
        <f t="shared" si="182"/>
        <v>0</v>
      </c>
      <c r="CG74" s="957">
        <f t="shared" si="183"/>
        <v>0</v>
      </c>
      <c r="CH74" s="33">
        <v>-5.093</v>
      </c>
      <c r="CI74" s="327">
        <v>0</v>
      </c>
      <c r="CJ74" s="8">
        <v>-0.89900000000000002</v>
      </c>
      <c r="CK74" s="684">
        <f t="shared" si="184"/>
        <v>-0.89900000000000002</v>
      </c>
      <c r="CL74" s="328">
        <v>-0.89900000000000002</v>
      </c>
      <c r="CM74" s="339">
        <v>4</v>
      </c>
      <c r="CN74" s="340">
        <v>30</v>
      </c>
      <c r="CO74" s="338" t="s">
        <v>1125</v>
      </c>
      <c r="CR74" t="s">
        <v>641</v>
      </c>
      <c r="CU74" t="s">
        <v>1053</v>
      </c>
      <c r="DA74" s="2" t="s">
        <v>1126</v>
      </c>
      <c r="DB74" s="765"/>
      <c r="DC74" s="338" t="s">
        <v>864</v>
      </c>
      <c r="DD74" t="s">
        <v>1127</v>
      </c>
      <c r="DF74" t="s">
        <v>646</v>
      </c>
      <c r="DG74" t="s">
        <v>862</v>
      </c>
      <c r="DH74" t="s">
        <v>868</v>
      </c>
      <c r="DI74" t="s">
        <v>1128</v>
      </c>
      <c r="DJ74" t="s">
        <v>871</v>
      </c>
      <c r="DK74" t="s">
        <v>1045</v>
      </c>
      <c r="DL74" t="s">
        <v>770</v>
      </c>
      <c r="DN74" t="s">
        <v>1129</v>
      </c>
      <c r="DO74" s="765"/>
      <c r="DX74" t="s">
        <v>1130</v>
      </c>
      <c r="DY74" s="2" t="s">
        <v>1131</v>
      </c>
      <c r="DZ74" s="695">
        <v>0.1</v>
      </c>
    </row>
    <row r="75" spans="1:130" ht="16" customHeight="1">
      <c r="A75" s="831">
        <f t="shared" si="145"/>
        <v>41639</v>
      </c>
      <c r="B75" s="815">
        <f t="shared" si="146"/>
        <v>4.7295326790716663</v>
      </c>
      <c r="C75" s="805">
        <f t="shared" si="147"/>
        <v>3.9120413706323753</v>
      </c>
      <c r="D75" s="805">
        <f t="shared" si="148"/>
        <v>2.3540442248377245</v>
      </c>
      <c r="E75" s="805">
        <f t="shared" si="149"/>
        <v>10.342650817477383</v>
      </c>
      <c r="F75" s="805">
        <f t="shared" si="150"/>
        <v>1.0151797518357466</v>
      </c>
      <c r="G75" s="784">
        <f t="shared" si="151"/>
        <v>1.4822808435423198</v>
      </c>
      <c r="H75" s="815">
        <f t="shared" si="144"/>
        <v>1.5919930581242303</v>
      </c>
      <c r="I75" s="805">
        <f t="shared" si="185"/>
        <v>-0.80834164620826598</v>
      </c>
      <c r="J75" s="805">
        <f t="shared" si="186"/>
        <v>-1.5271726748947723</v>
      </c>
      <c r="K75" s="805">
        <f t="shared" si="187"/>
        <v>-4.6668624394024523</v>
      </c>
      <c r="L75" s="784">
        <f t="shared" si="188"/>
        <v>-2.3444874040356667</v>
      </c>
      <c r="M75" s="805">
        <f t="shared" si="152"/>
        <v>-198.87603305785123</v>
      </c>
      <c r="N75" s="687">
        <f t="shared" si="153"/>
        <v>69.162223097018924</v>
      </c>
      <c r="O75" s="687">
        <f t="shared" si="154"/>
        <v>113.3125195129566</v>
      </c>
      <c r="P75" s="805">
        <f t="shared" si="155"/>
        <v>3.1990000000000016</v>
      </c>
      <c r="Q75" s="74">
        <f t="shared" si="156"/>
        <v>19.326000000000001</v>
      </c>
      <c r="R75" s="687">
        <f t="shared" si="157"/>
        <v>1.179000000000002</v>
      </c>
      <c r="S75" s="687">
        <f t="shared" si="158"/>
        <v>18.146999999999998</v>
      </c>
      <c r="T75" s="687">
        <f t="shared" si="159"/>
        <v>3.718</v>
      </c>
      <c r="U75" s="805">
        <f t="shared" si="160"/>
        <v>1.4584052468070419</v>
      </c>
      <c r="V75" s="687">
        <f t="shared" si="161"/>
        <v>0</v>
      </c>
      <c r="W75" s="805">
        <f t="shared" si="162"/>
        <v>0</v>
      </c>
      <c r="X75" s="687">
        <f t="shared" si="163"/>
        <v>14.428999999999998</v>
      </c>
      <c r="Y75" s="805">
        <f t="shared" si="164"/>
        <v>3.9464978558300987</v>
      </c>
      <c r="Z75" s="687">
        <f t="shared" si="165"/>
        <v>-11.167999999999999</v>
      </c>
      <c r="AA75" s="767">
        <f t="shared" si="166"/>
        <v>-2.7370000000000001</v>
      </c>
      <c r="AB75" s="815">
        <f t="shared" si="189"/>
        <v>-6.8624872132105867</v>
      </c>
      <c r="AC75" s="805">
        <f t="shared" si="190"/>
        <v>-6.6038690448812902</v>
      </c>
      <c r="AD75" s="805">
        <f t="shared" si="191"/>
        <v>-13.740198802247322</v>
      </c>
      <c r="AE75" s="805">
        <f t="shared" si="192"/>
        <v>-9.4014219830899179</v>
      </c>
      <c r="AF75" s="805">
        <f t="shared" si="193"/>
        <v>-1.855078405247506</v>
      </c>
      <c r="AG75" s="805">
        <f t="shared" si="194"/>
        <v>2.7458779752357785</v>
      </c>
      <c r="AH75" s="687">
        <f t="shared" si="195"/>
        <v>2.3809523809523832</v>
      </c>
      <c r="AI75" s="811" t="str">
        <f t="shared" ca="1" si="196"/>
        <v/>
      </c>
      <c r="AJ75" s="784">
        <f t="shared" si="197"/>
        <v>-29.407897139934981</v>
      </c>
      <c r="AK75" s="805">
        <f t="shared" si="198"/>
        <v>6.0710251180845667</v>
      </c>
      <c r="AL75" s="805">
        <f t="shared" si="167"/>
        <v>6.0901640902781748</v>
      </c>
      <c r="AM75" s="805">
        <v>6.7390999999999996</v>
      </c>
      <c r="AN75" s="805">
        <v>10.647399999999999</v>
      </c>
      <c r="AO75" s="805">
        <f t="shared" si="168"/>
        <v>11.236765141956754</v>
      </c>
      <c r="AP75" s="805">
        <v>4.5490000000000004</v>
      </c>
      <c r="AQ75" s="805">
        <f t="shared" si="169"/>
        <v>7.5098357783405829</v>
      </c>
      <c r="AR75" s="951">
        <f t="shared" si="170"/>
        <v>16.24696928291926</v>
      </c>
      <c r="AS75" s="784">
        <f t="shared" si="171"/>
        <v>11.135595881131936</v>
      </c>
      <c r="AU75" s="952">
        <f t="shared" si="172"/>
        <v>1.2067436778020606</v>
      </c>
      <c r="AV75" s="953" t="str">
        <f t="shared" ca="1" si="199"/>
        <v/>
      </c>
      <c r="AW75" s="953">
        <f t="shared" si="173"/>
        <v>8.1971417146235055</v>
      </c>
      <c r="AX75" s="48"/>
      <c r="AY75" s="209"/>
      <c r="AZ75" s="954">
        <f t="shared" si="200"/>
        <v>-0.98979380985957377</v>
      </c>
      <c r="BC75" s="327">
        <v>153.40600000000001</v>
      </c>
      <c r="BD75" s="328">
        <v>101.53</v>
      </c>
      <c r="BE75" s="327">
        <v>16.015000000000001</v>
      </c>
      <c r="BF75" s="8">
        <v>9.0839999999999996</v>
      </c>
      <c r="BG75" s="8">
        <v>-5.7729999999999997</v>
      </c>
      <c r="BH75" s="8">
        <f t="shared" si="174"/>
        <v>19.326000000000001</v>
      </c>
      <c r="BI75" s="8"/>
      <c r="BJ75" s="8">
        <f t="shared" si="175"/>
        <v>19.326000000000001</v>
      </c>
      <c r="BK75" s="328">
        <v>18.146999999999998</v>
      </c>
      <c r="BL75" s="327">
        <v>0.20200000000000001</v>
      </c>
      <c r="BM75" s="8">
        <v>-3.92</v>
      </c>
      <c r="BN75" s="8"/>
      <c r="BO75" s="8"/>
      <c r="BP75" s="764">
        <f t="shared" si="176"/>
        <v>-3.718</v>
      </c>
      <c r="BQ75" s="820">
        <v>0</v>
      </c>
      <c r="BR75" s="821" t="s">
        <v>1120</v>
      </c>
      <c r="BS75" s="833">
        <f t="shared" si="177"/>
        <v>0</v>
      </c>
      <c r="BT75" s="820">
        <v>0</v>
      </c>
      <c r="BU75" s="821"/>
      <c r="BV75" s="823">
        <f t="shared" si="178"/>
        <v>0</v>
      </c>
      <c r="BW75" s="821">
        <v>0</v>
      </c>
      <c r="BX75" s="821"/>
      <c r="BY75" s="823">
        <f t="shared" si="179"/>
        <v>0</v>
      </c>
      <c r="BZ75" s="821">
        <v>0</v>
      </c>
      <c r="CA75" s="821"/>
      <c r="CB75" s="823">
        <f t="shared" si="180"/>
        <v>0</v>
      </c>
      <c r="CC75" s="958">
        <f t="shared" si="181"/>
        <v>0</v>
      </c>
      <c r="CD75" s="821">
        <v>0</v>
      </c>
      <c r="CE75" s="821"/>
      <c r="CF75" s="823">
        <f t="shared" si="182"/>
        <v>0</v>
      </c>
      <c r="CG75" s="957">
        <f t="shared" si="183"/>
        <v>0</v>
      </c>
      <c r="CH75" s="33">
        <v>-11.167999999999999</v>
      </c>
      <c r="CI75" s="327">
        <v>0</v>
      </c>
      <c r="CJ75" s="8">
        <v>-2.7370000000000001</v>
      </c>
      <c r="CK75" s="684">
        <f t="shared" si="184"/>
        <v>-2.7370000000000001</v>
      </c>
      <c r="CL75" s="328">
        <v>-2.7370000000000001</v>
      </c>
      <c r="CM75" s="339">
        <v>5</v>
      </c>
      <c r="CN75" s="340">
        <v>31</v>
      </c>
      <c r="CO75" s="338" t="s">
        <v>916</v>
      </c>
      <c r="CR75" t="s">
        <v>916</v>
      </c>
      <c r="CU75" t="s">
        <v>916</v>
      </c>
      <c r="CY75" s="2" t="s">
        <v>562</v>
      </c>
      <c r="CZ75" s="2" t="s">
        <v>996</v>
      </c>
      <c r="DA75" s="276" t="s">
        <v>1132</v>
      </c>
      <c r="DB75" s="765"/>
      <c r="DC75" s="338" t="s">
        <v>916</v>
      </c>
      <c r="DD75" t="s">
        <v>916</v>
      </c>
      <c r="DF75" t="s">
        <v>916</v>
      </c>
      <c r="DG75" t="s">
        <v>916</v>
      </c>
      <c r="DH75" t="s">
        <v>1133</v>
      </c>
      <c r="DI75" t="s">
        <v>916</v>
      </c>
      <c r="DJ75" t="s">
        <v>916</v>
      </c>
      <c r="DK75" t="s">
        <v>916</v>
      </c>
      <c r="DL75" t="s">
        <v>916</v>
      </c>
      <c r="DN75" t="s">
        <v>916</v>
      </c>
      <c r="DO75" s="765"/>
      <c r="DX75" t="s">
        <v>1134</v>
      </c>
      <c r="DY75" s="2" t="s">
        <v>1135</v>
      </c>
      <c r="DZ75" s="695">
        <v>0.15</v>
      </c>
    </row>
    <row r="76" spans="1:130" ht="16" customHeight="1">
      <c r="A76" s="831">
        <f t="shared" si="145"/>
        <v>42004</v>
      </c>
      <c r="B76" s="815">
        <f t="shared" si="146"/>
        <v>4.054383542583138</v>
      </c>
      <c r="C76" s="805">
        <f t="shared" si="147"/>
        <v>5.4559687734055426</v>
      </c>
      <c r="D76" s="805">
        <f t="shared" si="148"/>
        <v>3.0673647519732676</v>
      </c>
      <c r="E76" s="805">
        <f t="shared" si="149"/>
        <v>13.901827657075749</v>
      </c>
      <c r="F76" s="805">
        <f t="shared" si="150"/>
        <v>1.2255391703279994</v>
      </c>
      <c r="G76" s="784">
        <f t="shared" si="151"/>
        <v>1.6891050080487293</v>
      </c>
      <c r="H76" s="815">
        <f t="shared" si="144"/>
        <v>-14.275176477288865</v>
      </c>
      <c r="I76" s="805">
        <f t="shared" si="185"/>
        <v>39.466029535459477</v>
      </c>
      <c r="J76" s="805">
        <f t="shared" si="186"/>
        <v>34.412617252667403</v>
      </c>
      <c r="K76" s="805">
        <f t="shared" si="187"/>
        <v>20.721396197260677</v>
      </c>
      <c r="L76" s="784">
        <f t="shared" si="188"/>
        <v>13.953102437197117</v>
      </c>
      <c r="M76" s="805">
        <f t="shared" si="152"/>
        <v>-1009.6938775510204</v>
      </c>
      <c r="N76" s="687">
        <f t="shared" si="153"/>
        <v>102.5563891460028</v>
      </c>
      <c r="O76" s="687">
        <f t="shared" si="154"/>
        <v>103.04227411395877</v>
      </c>
      <c r="P76" s="805">
        <f t="shared" si="155"/>
        <v>13.075999999999993</v>
      </c>
      <c r="Q76" s="74">
        <f t="shared" si="156"/>
        <v>84.206999999999994</v>
      </c>
      <c r="R76" s="687">
        <f t="shared" si="157"/>
        <v>10.911999999999992</v>
      </c>
      <c r="S76" s="687">
        <f t="shared" si="158"/>
        <v>73.295000000000002</v>
      </c>
      <c r="T76" s="687">
        <f t="shared" si="159"/>
        <v>6.44</v>
      </c>
      <c r="U76" s="805">
        <f t="shared" si="160"/>
        <v>1.7001190611330079</v>
      </c>
      <c r="V76" s="687">
        <f t="shared" si="161"/>
        <v>0</v>
      </c>
      <c r="W76" s="805">
        <f t="shared" si="162"/>
        <v>0</v>
      </c>
      <c r="X76" s="687">
        <f t="shared" si="163"/>
        <v>66.855000000000004</v>
      </c>
      <c r="Y76" s="805">
        <f t="shared" si="164"/>
        <v>4.8528699861687432</v>
      </c>
      <c r="Z76" s="687">
        <f t="shared" si="165"/>
        <v>-12.401999999999999</v>
      </c>
      <c r="AA76" s="767">
        <f t="shared" si="166"/>
        <v>1.123</v>
      </c>
      <c r="AB76" s="815">
        <f t="shared" si="189"/>
        <v>48.585135092729161</v>
      </c>
      <c r="AC76" s="805">
        <f t="shared" si="190"/>
        <v>63.336944745395463</v>
      </c>
      <c r="AD76" s="805">
        <f t="shared" si="191"/>
        <v>193.84103353254844</v>
      </c>
      <c r="AE76" s="805">
        <f t="shared" si="192"/>
        <v>282.14115276525791</v>
      </c>
      <c r="AF76" s="805">
        <f t="shared" si="193"/>
        <v>272.42585630743525</v>
      </c>
      <c r="AG76" s="805">
        <f t="shared" si="194"/>
        <v>344.15235716515764</v>
      </c>
      <c r="AH76" s="687">
        <f t="shared" si="195"/>
        <v>334.88372093023264</v>
      </c>
      <c r="AI76" s="811" t="str">
        <f t="shared" ca="1" si="196"/>
        <v/>
      </c>
      <c r="AJ76" s="784">
        <f t="shared" si="197"/>
        <v>335.71872089413228</v>
      </c>
      <c r="AK76" s="805">
        <f t="shared" si="198"/>
        <v>27.049607362196493</v>
      </c>
      <c r="AL76" s="805">
        <f t="shared" si="167"/>
        <v>21.732926769651936</v>
      </c>
      <c r="AM76" s="805">
        <v>23.8657</v>
      </c>
      <c r="AN76" s="805">
        <v>33.502099999999999</v>
      </c>
      <c r="AO76" s="805">
        <f t="shared" si="168"/>
        <v>37.548994689176354</v>
      </c>
      <c r="AP76" s="805">
        <v>18.119800000000001</v>
      </c>
      <c r="AQ76" s="805">
        <f t="shared" si="169"/>
        <v>23.316487967750074</v>
      </c>
      <c r="AR76" s="951">
        <f t="shared" si="170"/>
        <v>36.613023334626483</v>
      </c>
      <c r="AS76" s="784">
        <f t="shared" si="171"/>
        <v>31.805635448298613</v>
      </c>
      <c r="AU76" s="952">
        <f t="shared" si="172"/>
        <v>1.1838298350929974</v>
      </c>
      <c r="AV76" s="953" t="str">
        <f t="shared" ca="1" si="199"/>
        <v/>
      </c>
      <c r="AW76" s="953">
        <f t="shared" si="173"/>
        <v>26.622337969376254</v>
      </c>
      <c r="AX76" s="48"/>
      <c r="AY76" s="209"/>
      <c r="AZ76" s="954">
        <f t="shared" si="200"/>
        <v>30.301916999232059</v>
      </c>
      <c r="BC76" s="327">
        <v>212.96100000000001</v>
      </c>
      <c r="BD76" s="328">
        <v>165.83600000000001</v>
      </c>
      <c r="BE76" s="327">
        <v>71.131</v>
      </c>
      <c r="BF76" s="8">
        <v>10.039999999999999</v>
      </c>
      <c r="BG76" s="8">
        <v>3.036</v>
      </c>
      <c r="BH76" s="8">
        <f t="shared" si="174"/>
        <v>84.206999999999994</v>
      </c>
      <c r="BI76" s="8"/>
      <c r="BJ76" s="8">
        <f t="shared" si="175"/>
        <v>84.206999999999994</v>
      </c>
      <c r="BK76" s="328">
        <v>73.295000000000002</v>
      </c>
      <c r="BL76" s="327">
        <v>3.4000000000000002E-2</v>
      </c>
      <c r="BM76" s="8">
        <v>-6.4740000000000002</v>
      </c>
      <c r="BN76" s="8"/>
      <c r="BO76" s="8"/>
      <c r="BP76" s="764">
        <f t="shared" si="176"/>
        <v>-6.44</v>
      </c>
      <c r="BQ76" s="820">
        <v>0</v>
      </c>
      <c r="BR76" s="821" t="s">
        <v>1120</v>
      </c>
      <c r="BS76" s="833">
        <f t="shared" si="177"/>
        <v>0</v>
      </c>
      <c r="BT76" s="820">
        <v>0</v>
      </c>
      <c r="BU76" s="821"/>
      <c r="BV76" s="823">
        <f t="shared" si="178"/>
        <v>0</v>
      </c>
      <c r="BW76" s="821">
        <v>0</v>
      </c>
      <c r="BX76" s="821"/>
      <c r="BY76" s="823">
        <f t="shared" si="179"/>
        <v>0</v>
      </c>
      <c r="BZ76" s="821">
        <v>0</v>
      </c>
      <c r="CA76" s="821"/>
      <c r="CB76" s="823">
        <f t="shared" si="180"/>
        <v>0</v>
      </c>
      <c r="CC76" s="958">
        <f t="shared" si="181"/>
        <v>0</v>
      </c>
      <c r="CD76" s="821">
        <v>0</v>
      </c>
      <c r="CE76" s="821"/>
      <c r="CF76" s="823">
        <f t="shared" si="182"/>
        <v>0</v>
      </c>
      <c r="CG76" s="957">
        <f t="shared" si="183"/>
        <v>0</v>
      </c>
      <c r="CH76" s="33">
        <v>-12.401999999999999</v>
      </c>
      <c r="CI76" s="327">
        <v>1.123</v>
      </c>
      <c r="CJ76" s="8">
        <v>0</v>
      </c>
      <c r="CK76" s="684">
        <f t="shared" si="184"/>
        <v>1.123</v>
      </c>
      <c r="CL76" s="328">
        <v>1.123</v>
      </c>
      <c r="CM76" s="339">
        <v>6</v>
      </c>
      <c r="CN76" s="340">
        <v>30</v>
      </c>
      <c r="CO76" s="338" t="e">
        <f t="array" aca="1" ref="CO76" ca="1">_xll.BDP($BD$1,"trail 12m gross profit","eqy fund relative period=-4fq","scaling format",$BI$8)</f>
        <v>#NAME?</v>
      </c>
      <c r="CP76" t="e">
        <f ca="1">(BD86-CO76)/ABS(CO76)*100</f>
        <v>#NAME?</v>
      </c>
      <c r="CR76" t="e">
        <f t="array" aca="1" ref="CR76" ca="1">_xll.BDP($BD$1,"trail 12m pretax inc","eqy fund relative period=-4fq","scaling format",$BI$8)</f>
        <v>#NAME?</v>
      </c>
      <c r="CS76" t="e">
        <f ca="1">(L31-CR71)/ABS(CR71)*100</f>
        <v>#NAME?</v>
      </c>
      <c r="CU76" t="e">
        <f t="array" aca="1" ref="CU76" ca="1">_xll.BDP($BD$1,"tot common eqy","eqy fund relative period","-4fq","eqy consolidated="&amp;$CS$3,"eqy fund crncy="&amp;$BJ$4,"scaling format",$BI$8)</f>
        <v>#NAME?</v>
      </c>
      <c r="CV76" t="e">
        <f t="array" aca="1" ref="CV76" ca="1">_xll.BDP($BD$1,"bs disclosed intangibles","eqy fund relative period","-4fq","eqy consolidated="&amp;$CS$3,"eqy fund crncy="&amp;$BJ$4,"scaling format",$BI$8)</f>
        <v>#NAME?</v>
      </c>
      <c r="CW76" t="e">
        <f t="array" aca="1" ref="CW76" ca="1">_xll.BDP($BD$1,"is sh for diluted eps","eqy fund relative period","-4fq","eqy consolidated="&amp;$CS$3,"eqy fund crncy="&amp;$BJ$4)</f>
        <v>#NAME?</v>
      </c>
      <c r="CX76" t="e">
        <f t="array" aca="1" ref="CX76" ca="1">_xll.BDP($BD$1,"is avg num sh for eps","eqy fund relative period","-4fq","eqy consolidated="&amp;$CS$3,"eqy fund crncy="&amp;$BJ$4)</f>
        <v>#NAME?</v>
      </c>
      <c r="CY76" t="str">
        <f ca="1">IF(ISNUMBER(CW76),CW76,IF(ISNUMBER(CX76),CX76,""))</f>
        <v/>
      </c>
      <c r="CZ76" t="e">
        <f ca="1">CU76-CV76</f>
        <v>#NAME?</v>
      </c>
      <c r="DA76" t="str">
        <f ca="1">IF(ISNUMBER(CZ76),IFERROR(IF($BI$8="TRN",(CZ76*1000000)/CY76,IF($BI$8="BLN",(CZ76*1000)/CY76,CZ76/CY76)),""),"")</f>
        <v/>
      </c>
      <c r="DB76" s="765" t="e">
        <f ca="1">(AI66-DA76)/ABS(DA76)*100</f>
        <v>#VALUE!</v>
      </c>
      <c r="DC76" s="338" t="e">
        <f t="array" aca="1" ref="DC76" ca="1">_xll.BDP($BD$1,"bs inventories","eqy fund relative period=-4fq","scaling format",$BI$8)</f>
        <v>#NAME?</v>
      </c>
      <c r="DD76" t="e">
        <f ca="1">CO71/DC76</f>
        <v>#NAME?</v>
      </c>
      <c r="DF76" t="e">
        <f t="array" aca="1" ref="DF76" ca="1">_xll.BDP($BD$1,"bs cash near cash item","eqy fund relative period=-4fq","scaling format",$BI$8)</f>
        <v>#NAME?</v>
      </c>
      <c r="DG76" t="e">
        <f t="array" aca="1" ref="DG76" ca="1">_xll.BDP($BD$1,"bs mkt sec other st invest","eqy fund relative period=-4fq","scaling format",$BI$8)</f>
        <v>#NAME?</v>
      </c>
      <c r="DH76" t="e">
        <f t="array" aca="1" ref="DH76" ca="1">_xll.BDP($BD$1,"bs lt invest","eqy fund relative period=-4fq","scaling format",$BI$8)</f>
        <v>#NAME?</v>
      </c>
      <c r="DI76" t="e">
        <f t="array" aca="1" ref="DI76" ca="1">_xll.BDP($BD$1,"bs tot asset","eqy fund relative period=-4fq","scaling format",$BI$8)</f>
        <v>#NAME?</v>
      </c>
      <c r="DJ76" t="e">
        <f t="array" aca="1" ref="DJ76" ca="1">_xll.BDP($BD$1,"bs disclosed intangibles","eqy fund relative period=-4fq","scaling format",$BI$8)</f>
        <v>#NAME?</v>
      </c>
      <c r="DK76" t="e">
        <f ca="1">DI76-DF76-DG76-DH76</f>
        <v>#NAME?</v>
      </c>
      <c r="DL76" t="e">
        <f ca="1">DI76-DF76-DG76-DH76-DJ76</f>
        <v>#NAME?</v>
      </c>
      <c r="DN76" t="e">
        <f ca="1">CO71/DK76</f>
        <v>#NAME?</v>
      </c>
      <c r="DO76" s="765" t="e">
        <f ca="1">CO71/DL76</f>
        <v>#NAME?</v>
      </c>
      <c r="DX76" t="s">
        <v>1136</v>
      </c>
      <c r="DY76" s="2" t="s">
        <v>1137</v>
      </c>
      <c r="DZ76" s="695">
        <v>0.15</v>
      </c>
    </row>
    <row r="77" spans="1:130" ht="16" customHeight="1">
      <c r="A77" s="831">
        <f t="shared" si="145"/>
        <v>42369</v>
      </c>
      <c r="B77" s="815">
        <f t="shared" si="146"/>
        <v>4.3278018069377495</v>
      </c>
      <c r="C77" s="805">
        <f t="shared" si="147"/>
        <v>6.4815412884904502</v>
      </c>
      <c r="D77" s="805">
        <f t="shared" si="148"/>
        <v>3.3180392375225045</v>
      </c>
      <c r="E77" s="805">
        <f t="shared" si="149"/>
        <v>13.070065124635079</v>
      </c>
      <c r="F77" s="805">
        <f t="shared" si="150"/>
        <v>1.2702649613688943</v>
      </c>
      <c r="G77" s="784">
        <f t="shared" si="151"/>
        <v>1.8477290044023027</v>
      </c>
      <c r="H77" s="815">
        <f t="shared" si="144"/>
        <v>6.7437690954223584</v>
      </c>
      <c r="I77" s="805">
        <f t="shared" si="185"/>
        <v>18.797257786443655</v>
      </c>
      <c r="J77" s="805">
        <f t="shared" si="186"/>
        <v>-5.9831164143178022</v>
      </c>
      <c r="K77" s="805">
        <f t="shared" si="187"/>
        <v>3.6494787048646282</v>
      </c>
      <c r="L77" s="784">
        <f t="shared" si="188"/>
        <v>9.3910085872528128</v>
      </c>
      <c r="M77" s="805">
        <f t="shared" si="152"/>
        <v>61.384558733276052</v>
      </c>
      <c r="N77" s="687">
        <f t="shared" si="153"/>
        <v>95.88011889035667</v>
      </c>
      <c r="O77" s="687">
        <f t="shared" si="154"/>
        <v>176.61698652511231</v>
      </c>
      <c r="P77" s="805">
        <f t="shared" si="155"/>
        <v>20.722999999999999</v>
      </c>
      <c r="Q77" s="74">
        <f t="shared" si="156"/>
        <v>69.677999999999997</v>
      </c>
      <c r="R77" s="687">
        <f t="shared" si="157"/>
        <v>-16.829000000000008</v>
      </c>
      <c r="S77" s="687">
        <f t="shared" si="158"/>
        <v>86.507000000000005</v>
      </c>
      <c r="T77" s="687">
        <f t="shared" si="159"/>
        <v>4.1530000000000005</v>
      </c>
      <c r="U77" s="805">
        <f t="shared" si="160"/>
        <v>1.189269371087553</v>
      </c>
      <c r="V77" s="687">
        <f t="shared" si="161"/>
        <v>0</v>
      </c>
      <c r="W77" s="805">
        <f t="shared" si="162"/>
        <v>0</v>
      </c>
      <c r="X77" s="687">
        <f t="shared" si="163"/>
        <v>82.353999999999999</v>
      </c>
      <c r="Y77" s="805">
        <f t="shared" si="164"/>
        <v>-5.4968444304196877</v>
      </c>
      <c r="Z77" s="687">
        <f t="shared" si="165"/>
        <v>-56.877000000000002</v>
      </c>
      <c r="AA77" s="767">
        <f t="shared" si="166"/>
        <v>-3.1</v>
      </c>
      <c r="AB77" s="815">
        <f t="shared" si="189"/>
        <v>-7.8118358909917456</v>
      </c>
      <c r="AC77" s="805">
        <f t="shared" si="190"/>
        <v>2.7762367640319261</v>
      </c>
      <c r="AD77" s="805">
        <f t="shared" si="191"/>
        <v>-11.492181029863115</v>
      </c>
      <c r="AE77" s="805">
        <f t="shared" si="192"/>
        <v>-19.666148637398006</v>
      </c>
      <c r="AF77" s="805">
        <f t="shared" si="193"/>
        <v>-19.943359457148066</v>
      </c>
      <c r="AG77" s="805">
        <f t="shared" si="194"/>
        <v>-31.141133964094418</v>
      </c>
      <c r="AH77" s="687">
        <f t="shared" si="195"/>
        <v>-32.085561497326204</v>
      </c>
      <c r="AI77" s="811" t="str">
        <f t="shared" ca="1" si="196"/>
        <v/>
      </c>
      <c r="AJ77" s="784">
        <f t="shared" si="197"/>
        <v>-17.253910007481561</v>
      </c>
      <c r="AK77" s="805">
        <f t="shared" si="198"/>
        <v>14.96504692999609</v>
      </c>
      <c r="AL77" s="805">
        <f t="shared" si="167"/>
        <v>14.814770005081424</v>
      </c>
      <c r="AM77" s="805">
        <v>17.172000000000001</v>
      </c>
      <c r="AN77" s="805">
        <v>22.918299999999999</v>
      </c>
      <c r="AO77" s="805">
        <f t="shared" si="168"/>
        <v>36.868227226549266</v>
      </c>
      <c r="AP77" s="805">
        <v>11.168200000000001</v>
      </c>
      <c r="AQ77" s="805">
        <f t="shared" si="169"/>
        <v>21.059772723965835</v>
      </c>
      <c r="AR77" s="951">
        <f t="shared" si="170"/>
        <v>38.45242126650863</v>
      </c>
      <c r="AS77" s="784">
        <f t="shared" si="171"/>
        <v>30.213977311208932</v>
      </c>
      <c r="AU77" s="952">
        <f t="shared" si="172"/>
        <v>1.4225806451612903</v>
      </c>
      <c r="AV77" s="953" t="str">
        <f t="shared" ca="1" si="199"/>
        <v/>
      </c>
      <c r="AW77" s="953">
        <f t="shared" si="173"/>
        <v>23.403360834994078</v>
      </c>
      <c r="AX77" s="48"/>
      <c r="AY77" s="209"/>
      <c r="AZ77" s="954">
        <f t="shared" si="200"/>
        <v>8.1723076914141259</v>
      </c>
      <c r="BC77" s="327">
        <v>178.76599999999999</v>
      </c>
      <c r="BD77" s="328">
        <v>170.44</v>
      </c>
      <c r="BE77" s="327">
        <v>48.98</v>
      </c>
      <c r="BF77" s="8">
        <v>14.776999999999999</v>
      </c>
      <c r="BG77" s="8">
        <v>5.9210000000000003</v>
      </c>
      <c r="BH77" s="8">
        <f t="shared" si="174"/>
        <v>69.677999999999997</v>
      </c>
      <c r="BI77" s="8"/>
      <c r="BJ77" s="8">
        <f t="shared" si="175"/>
        <v>69.677999999999997</v>
      </c>
      <c r="BK77" s="328">
        <v>86.507000000000005</v>
      </c>
      <c r="BL77" s="327">
        <v>1.4999999999999999E-2</v>
      </c>
      <c r="BM77" s="8">
        <v>-4.1680000000000001</v>
      </c>
      <c r="BN77" s="8"/>
      <c r="BO77" s="8"/>
      <c r="BP77" s="764">
        <f t="shared" si="176"/>
        <v>-4.1530000000000005</v>
      </c>
      <c r="BQ77" s="820">
        <v>0</v>
      </c>
      <c r="BR77" s="821" t="s">
        <v>1120</v>
      </c>
      <c r="BS77" s="833">
        <f t="shared" si="177"/>
        <v>0</v>
      </c>
      <c r="BT77" s="820">
        <v>0</v>
      </c>
      <c r="BU77" s="821"/>
      <c r="BV77" s="823">
        <f t="shared" si="178"/>
        <v>0</v>
      </c>
      <c r="BW77" s="821">
        <v>0</v>
      </c>
      <c r="BX77" s="821"/>
      <c r="BY77" s="823">
        <f t="shared" si="179"/>
        <v>0</v>
      </c>
      <c r="BZ77" s="821">
        <v>0</v>
      </c>
      <c r="CA77" s="821"/>
      <c r="CB77" s="823">
        <f t="shared" si="180"/>
        <v>0</v>
      </c>
      <c r="CC77" s="958">
        <f t="shared" si="181"/>
        <v>0</v>
      </c>
      <c r="CD77" s="821">
        <v>0</v>
      </c>
      <c r="CE77" s="821"/>
      <c r="CF77" s="823">
        <f t="shared" si="182"/>
        <v>0</v>
      </c>
      <c r="CG77" s="957">
        <f t="shared" si="183"/>
        <v>0</v>
      </c>
      <c r="CH77" s="33">
        <v>-56.877000000000002</v>
      </c>
      <c r="CI77" s="327">
        <v>0</v>
      </c>
      <c r="CJ77" s="8">
        <v>-3.1</v>
      </c>
      <c r="CK77" s="684">
        <f t="shared" si="184"/>
        <v>-3.1</v>
      </c>
      <c r="CL77" s="328">
        <v>-3.1</v>
      </c>
      <c r="CM77" s="339">
        <v>7</v>
      </c>
      <c r="CN77" s="340">
        <v>31</v>
      </c>
      <c r="CO77" s="338" t="e">
        <f t="array" aca="1" ref="CO77" ca="1">_xll.BDP($BD$1,"trail 12m gross profit","eqy fund relative period=-2fs","scaling format",$BI$8)</f>
        <v>#NAME?</v>
      </c>
      <c r="CP77" t="e">
        <f ca="1">(BD86-CO77)/ABS(CO77)*100</f>
        <v>#NAME?</v>
      </c>
      <c r="CR77" t="e">
        <f t="array" aca="1" ref="CR77" ca="1">_xll.BDP($BD$1,"trail 12m pretax inc","eqy fund relative period=-2fs","scaling format",$BI$8)</f>
        <v>#NAME?</v>
      </c>
      <c r="CS77" t="e">
        <f ca="1">(L31-CR72)/ABS(CR72)*100</f>
        <v>#NAME?</v>
      </c>
      <c r="CU77" t="e">
        <f t="array" aca="1" ref="CU77" ca="1">_xll.BDP($BD$1,"tot common eqy","eqy fund relative period","-2fs","eqy consolidated="&amp;$CS$3,"eqy fund crncy="&amp;$BJ$4,"scaling format",$BI$8)</f>
        <v>#NAME?</v>
      </c>
      <c r="CV77" t="e">
        <f t="array" aca="1" ref="CV77" ca="1">_xll.BDP($BD$1,"bs disclosed intangibles","eqy fund relative period","-2fs","eqy consolidated="&amp;$CS$3,"eqy fund crncy="&amp;$BJ$4,"scaling format",$BI$8)</f>
        <v>#NAME?</v>
      </c>
      <c r="CW77" t="e">
        <f t="array" aca="1" ref="CW77" ca="1">_xll.BDP($BD$1,"is sh for diluted eps","eqy fund relative period","-2fs","eqy consolidated="&amp;$CS$3,"eqy fund crncy="&amp;$BJ$4)</f>
        <v>#NAME?</v>
      </c>
      <c r="CX77" t="e">
        <f t="array" aca="1" ref="CX77" ca="1">_xll.BDP($BD$1,"is avg num sh for eps","eqy fund relative period","-2fs","eqy consolidated="&amp;$CS$3,"eqy fund crncy="&amp;$BJ$4)</f>
        <v>#NAME?</v>
      </c>
      <c r="CY77" t="str">
        <f ca="1">IF(ISNUMBER(CW77),CW77,IF(ISNUMBER(CX77),CX77,""))</f>
        <v/>
      </c>
      <c r="CZ77" t="e">
        <f ca="1">CU77-CV77</f>
        <v>#NAME?</v>
      </c>
      <c r="DA77" t="str">
        <f ca="1">IF(ISNUMBER(CZ77),IFERROR(IF($BI$8="TRN",(CZ77*1000000)/CY77,IF($BI$8="BLN",(CZ77*1000)/CY77,CZ77/CY77)),""),"")</f>
        <v/>
      </c>
      <c r="DB77" s="765" t="e">
        <f ca="1">(AI66-DA77)/ABS(DA77)*100</f>
        <v>#VALUE!</v>
      </c>
      <c r="DC77" s="338" t="e">
        <f t="array" aca="1" ref="DC77" ca="1">_xll.BDP($BD$1,"bs inventories","eqy fund relative period=-2fs","scaling format",$BI$8)</f>
        <v>#NAME?</v>
      </c>
      <c r="DD77" t="e">
        <f ca="1">CO72/DC77</f>
        <v>#NAME?</v>
      </c>
      <c r="DF77" t="e">
        <f t="array" aca="1" ref="DF77" ca="1">_xll.BDP($BD$1,"bs cash near cash item","eqy fund relative period=-2fs","scaling format",$BI$8)</f>
        <v>#NAME?</v>
      </c>
      <c r="DG77" t="e">
        <f t="array" aca="1" ref="DG77" ca="1">_xll.BDP($BD$1,"bs mkt sec other st invest","eqy fund relative period=-2fs","scaling format",$BI$8)</f>
        <v>#NAME?</v>
      </c>
      <c r="DH77" t="e">
        <f t="array" aca="1" ref="DH77" ca="1">_xll.BDP($BD$1,"bs lt invest","eqy fund relative period=-2fs","scaling format",$BI$8)</f>
        <v>#NAME?</v>
      </c>
      <c r="DI77" t="e">
        <f t="array" aca="1" ref="DI77" ca="1">_xll.BDP($BD$1,"bs tot asset","eqy fund relative period=-2fs","scaling format",$BI$8)</f>
        <v>#NAME?</v>
      </c>
      <c r="DJ77" t="e">
        <f t="array" aca="1" ref="DJ77" ca="1">_xll.BDP($BD$1,"bs disclosed intangibles","eqy fund relative period=-2fs","scaling format",$BI$8)</f>
        <v>#NAME?</v>
      </c>
      <c r="DK77" t="e">
        <f ca="1">DI77-DF77-DG77-DH77</f>
        <v>#NAME?</v>
      </c>
      <c r="DL77" t="e">
        <f ca="1">DI77-DF77-DG77-DH77-DJ77</f>
        <v>#NAME?</v>
      </c>
      <c r="DN77" t="e">
        <f ca="1">CO72/DK77</f>
        <v>#NAME?</v>
      </c>
      <c r="DO77" s="765" t="e">
        <f ca="1">CO72/DL77</f>
        <v>#NAME?</v>
      </c>
      <c r="DX77" t="s">
        <v>1138</v>
      </c>
      <c r="DY77" s="2" t="s">
        <v>1139</v>
      </c>
      <c r="DZ77" s="695">
        <v>0.35</v>
      </c>
    </row>
    <row r="78" spans="1:130" ht="16" customHeight="1">
      <c r="A78" s="831">
        <f t="shared" si="145"/>
        <v>42735</v>
      </c>
      <c r="B78" s="815">
        <f t="shared" si="146"/>
        <v>4.1729197932299487</v>
      </c>
      <c r="C78" s="805">
        <f t="shared" si="147"/>
        <v>6.8183056635303521</v>
      </c>
      <c r="D78" s="805">
        <f t="shared" si="148"/>
        <v>3.3402477567479201</v>
      </c>
      <c r="E78" s="805">
        <f t="shared" si="149"/>
        <v>13.906383136368689</v>
      </c>
      <c r="F78" s="805">
        <f t="shared" si="150"/>
        <v>1.3274500581726365</v>
      </c>
      <c r="G78" s="784">
        <f t="shared" si="151"/>
        <v>1.8856621857857618</v>
      </c>
      <c r="H78" s="815">
        <f t="shared" si="144"/>
        <v>-3.5787686362974136</v>
      </c>
      <c r="I78" s="805">
        <f t="shared" si="185"/>
        <v>5.1957452718523811</v>
      </c>
      <c r="J78" s="805">
        <f t="shared" si="186"/>
        <v>6.3987287267396775</v>
      </c>
      <c r="K78" s="805">
        <f t="shared" si="187"/>
        <v>4.5018243077504794</v>
      </c>
      <c r="L78" s="784">
        <f t="shared" si="188"/>
        <v>2.0529623820961573</v>
      </c>
      <c r="M78" s="805">
        <f t="shared" si="152"/>
        <v>69.947935585421959</v>
      </c>
      <c r="N78" s="687">
        <f t="shared" si="153"/>
        <v>105.64465829100953</v>
      </c>
      <c r="O78" s="687">
        <f t="shared" si="154"/>
        <v>151.37451512503256</v>
      </c>
      <c r="P78" s="805">
        <f t="shared" si="155"/>
        <v>29.557000000000002</v>
      </c>
      <c r="Q78" s="74">
        <f t="shared" si="156"/>
        <v>94.852000000000004</v>
      </c>
      <c r="R78" s="687">
        <f t="shared" si="157"/>
        <v>-3.8789999999999907</v>
      </c>
      <c r="S78" s="687">
        <f t="shared" si="158"/>
        <v>98.730999999999995</v>
      </c>
      <c r="T78" s="687">
        <f t="shared" si="159"/>
        <v>4.4810000000000008</v>
      </c>
      <c r="U78" s="805">
        <f t="shared" si="160"/>
        <v>1.1937395937395938</v>
      </c>
      <c r="V78" s="687">
        <f t="shared" si="161"/>
        <v>0</v>
      </c>
      <c r="W78" s="805">
        <f t="shared" si="162"/>
        <v>0</v>
      </c>
      <c r="X78" s="687">
        <f t="shared" si="163"/>
        <v>94.25</v>
      </c>
      <c r="Y78" s="805">
        <f t="shared" si="164"/>
        <v>157.5614617940173</v>
      </c>
      <c r="Z78" s="687">
        <f t="shared" si="165"/>
        <v>-45.42</v>
      </c>
      <c r="AA78" s="767">
        <f t="shared" si="166"/>
        <v>-21.978999999999999</v>
      </c>
      <c r="AB78" s="815">
        <f t="shared" si="189"/>
        <v>7.4938574938574893</v>
      </c>
      <c r="AC78" s="805">
        <f t="shared" si="190"/>
        <v>12.345106782445434</v>
      </c>
      <c r="AD78" s="805">
        <f t="shared" si="191"/>
        <v>23.546895640686934</v>
      </c>
      <c r="AE78" s="805">
        <f t="shared" si="192"/>
        <v>29.835046204335441</v>
      </c>
      <c r="AF78" s="805">
        <f t="shared" si="193"/>
        <v>28.811600294210372</v>
      </c>
      <c r="AG78" s="805">
        <f t="shared" si="194"/>
        <v>33.162515312372406</v>
      </c>
      <c r="AH78" s="687">
        <f t="shared" si="195"/>
        <v>33.85826771653543</v>
      </c>
      <c r="AI78" s="811" t="str">
        <f t="shared" ca="1" si="196"/>
        <v/>
      </c>
      <c r="AJ78" s="784">
        <f t="shared" si="197"/>
        <v>36.129050776428727</v>
      </c>
      <c r="AK78" s="805">
        <f t="shared" si="198"/>
        <v>19.727720376509307</v>
      </c>
      <c r="AL78" s="805">
        <f t="shared" si="167"/>
        <v>18.992693885752058</v>
      </c>
      <c r="AM78" s="805">
        <v>18.293199999999999</v>
      </c>
      <c r="AN78" s="805">
        <v>22.9072</v>
      </c>
      <c r="AO78" s="805">
        <f t="shared" si="168"/>
        <v>47.648039865774514</v>
      </c>
      <c r="AP78" s="805">
        <v>12.7851</v>
      </c>
      <c r="AQ78" s="805">
        <f t="shared" si="169"/>
        <v>26.581889037021845</v>
      </c>
      <c r="AR78" s="951">
        <f t="shared" si="170"/>
        <v>45.102176140816205</v>
      </c>
      <c r="AS78" s="784">
        <f t="shared" si="171"/>
        <v>36.949183193682565</v>
      </c>
      <c r="AU78" s="952">
        <f t="shared" si="172"/>
        <v>1.4542722659184644</v>
      </c>
      <c r="AV78" s="953" t="str">
        <f t="shared" ca="1" si="199"/>
        <v/>
      </c>
      <c r="AW78" s="953">
        <f t="shared" si="173"/>
        <v>30.828035926670228</v>
      </c>
      <c r="AX78" s="48"/>
      <c r="AY78" s="209"/>
      <c r="AZ78" s="954">
        <f t="shared" si="200"/>
        <v>0.66932660030862845</v>
      </c>
      <c r="BC78" s="327">
        <v>183.89400000000001</v>
      </c>
      <c r="BD78" s="328">
        <v>191.48099999999999</v>
      </c>
      <c r="BE78" s="327">
        <v>65.222999999999999</v>
      </c>
      <c r="BF78" s="8">
        <v>14.616</v>
      </c>
      <c r="BG78" s="8">
        <v>15.013</v>
      </c>
      <c r="BH78" s="8">
        <f t="shared" si="174"/>
        <v>94.852000000000004</v>
      </c>
      <c r="BI78" s="8"/>
      <c r="BJ78" s="8">
        <f t="shared" si="175"/>
        <v>94.852000000000004</v>
      </c>
      <c r="BK78" s="328">
        <v>98.730999999999995</v>
      </c>
      <c r="BL78" s="327">
        <v>7.0000000000000001E-3</v>
      </c>
      <c r="BM78" s="8">
        <v>-4.4880000000000004</v>
      </c>
      <c r="BN78" s="8"/>
      <c r="BO78" s="8"/>
      <c r="BP78" s="764">
        <f t="shared" si="176"/>
        <v>-4.4810000000000008</v>
      </c>
      <c r="BQ78" s="820">
        <v>0</v>
      </c>
      <c r="BR78" s="821" t="s">
        <v>1120</v>
      </c>
      <c r="BS78" s="833">
        <f t="shared" si="177"/>
        <v>0</v>
      </c>
      <c r="BT78" s="820">
        <v>0</v>
      </c>
      <c r="BU78" s="821"/>
      <c r="BV78" s="823">
        <f t="shared" si="178"/>
        <v>0</v>
      </c>
      <c r="BW78" s="821">
        <v>0</v>
      </c>
      <c r="BX78" s="821"/>
      <c r="BY78" s="823">
        <f t="shared" si="179"/>
        <v>0</v>
      </c>
      <c r="BZ78" s="821">
        <v>0</v>
      </c>
      <c r="CA78" s="821"/>
      <c r="CB78" s="823">
        <f t="shared" si="180"/>
        <v>0</v>
      </c>
      <c r="CC78" s="958">
        <f t="shared" si="181"/>
        <v>0</v>
      </c>
      <c r="CD78" s="821">
        <v>0</v>
      </c>
      <c r="CE78" s="821"/>
      <c r="CF78" s="823">
        <f t="shared" si="182"/>
        <v>0</v>
      </c>
      <c r="CG78" s="957">
        <f t="shared" si="183"/>
        <v>0</v>
      </c>
      <c r="CH78" s="33">
        <v>-45.42</v>
      </c>
      <c r="CI78" s="327">
        <v>0</v>
      </c>
      <c r="CJ78" s="8">
        <v>-21.978999999999999</v>
      </c>
      <c r="CK78" s="684">
        <f t="shared" si="184"/>
        <v>-21.978999999999999</v>
      </c>
      <c r="CL78" s="328">
        <v>-21.978999999999999</v>
      </c>
      <c r="CM78" s="339">
        <v>8</v>
      </c>
      <c r="CN78" s="340">
        <v>31</v>
      </c>
      <c r="CO78" s="338"/>
      <c r="DB78" s="765"/>
      <c r="DC78" s="338"/>
      <c r="DD78" s="45" t="str">
        <f ca="1">IF(ISNUMBER(DD76),DD76,IF(ISNUMBER(DD77),DD77,""))</f>
        <v/>
      </c>
      <c r="DN78" s="45" t="str">
        <f ca="1">IF(ISNUMBER(DN76),DN76,IF(ISNUMBER(DN77),DN77,""))</f>
        <v/>
      </c>
      <c r="DO78" s="436" t="str">
        <f ca="1">IF(ISNUMBER(DO76),DO76,IF(ISNUMBER(DO77),DO77,""))</f>
        <v/>
      </c>
      <c r="DX78" t="s">
        <v>1140</v>
      </c>
      <c r="DY78" s="2" t="s">
        <v>1141</v>
      </c>
      <c r="DZ78" s="695">
        <v>0.35</v>
      </c>
    </row>
    <row r="79" spans="1:130" ht="16" customHeight="1">
      <c r="A79" s="831">
        <f t="shared" si="145"/>
        <v>43100</v>
      </c>
      <c r="B79" s="815">
        <f t="shared" si="146"/>
        <v>3.9082835555203919</v>
      </c>
      <c r="C79" s="805">
        <f t="shared" si="147"/>
        <v>8.3553215780794101</v>
      </c>
      <c r="D79" s="805">
        <f t="shared" si="148"/>
        <v>3.5823924901687172</v>
      </c>
      <c r="E79" s="805">
        <f t="shared" si="149"/>
        <v>22.354904400950332</v>
      </c>
      <c r="F79" s="805">
        <f t="shared" si="150"/>
        <v>1.7075907324562796</v>
      </c>
      <c r="G79" s="784">
        <f t="shared" si="151"/>
        <v>2.2092464221824692</v>
      </c>
      <c r="H79" s="815">
        <f t="shared" si="144"/>
        <v>-6.3417523178589841</v>
      </c>
      <c r="I79" s="805">
        <f t="shared" si="185"/>
        <v>22.542490618603761</v>
      </c>
      <c r="J79" s="805">
        <f t="shared" si="186"/>
        <v>60.752829702258346</v>
      </c>
      <c r="K79" s="805">
        <f t="shared" si="187"/>
        <v>28.636909685848643</v>
      </c>
      <c r="L79" s="784">
        <f t="shared" si="188"/>
        <v>17.160244228043897</v>
      </c>
      <c r="M79" s="805">
        <f t="shared" si="152"/>
        <v>84.828830211851397</v>
      </c>
      <c r="N79" s="687">
        <f t="shared" si="153"/>
        <v>101.71546295506673</v>
      </c>
      <c r="O79" s="687">
        <f t="shared" si="154"/>
        <v>97.203322716210664</v>
      </c>
      <c r="P79" s="805">
        <f t="shared" si="155"/>
        <v>53.464000000000027</v>
      </c>
      <c r="Q79" s="74">
        <f t="shared" si="156"/>
        <v>226.61900000000003</v>
      </c>
      <c r="R79" s="687">
        <f t="shared" si="157"/>
        <v>58.466000000000037</v>
      </c>
      <c r="S79" s="687">
        <f t="shared" si="158"/>
        <v>168.15299999999999</v>
      </c>
      <c r="T79" s="687">
        <f t="shared" si="159"/>
        <v>5.0339999999999998</v>
      </c>
      <c r="U79" s="805">
        <f t="shared" si="160"/>
        <v>0.84921177155292382</v>
      </c>
      <c r="V79" s="687">
        <f t="shared" si="161"/>
        <v>0</v>
      </c>
      <c r="W79" s="805">
        <f t="shared" si="162"/>
        <v>0</v>
      </c>
      <c r="X79" s="687">
        <f t="shared" si="163"/>
        <v>163.119</v>
      </c>
      <c r="Y79" s="805">
        <f t="shared" si="164"/>
        <v>3.5688031496062975</v>
      </c>
      <c r="Z79" s="687">
        <f t="shared" si="165"/>
        <v>-65.302000000000007</v>
      </c>
      <c r="AA79" s="767">
        <f t="shared" si="166"/>
        <v>-23.5</v>
      </c>
      <c r="AB79" s="815">
        <f t="shared" si="189"/>
        <v>57.91808191808191</v>
      </c>
      <c r="AC79" s="805">
        <f t="shared" si="190"/>
        <v>76.845222241371218</v>
      </c>
      <c r="AD79" s="805">
        <f t="shared" si="191"/>
        <v>148.14777688675039</v>
      </c>
      <c r="AE79" s="805">
        <f t="shared" si="192"/>
        <v>178.61989144316729</v>
      </c>
      <c r="AF79" s="805">
        <f t="shared" si="193"/>
        <v>170.83639231041141</v>
      </c>
      <c r="AG79" s="805">
        <f t="shared" si="194"/>
        <v>165.23005688177486</v>
      </c>
      <c r="AH79" s="687">
        <f t="shared" si="195"/>
        <v>155.29411764705881</v>
      </c>
      <c r="AI79" s="811" t="str">
        <f t="shared" ca="1" si="196"/>
        <v/>
      </c>
      <c r="AJ79" s="784">
        <f t="shared" si="197"/>
        <v>138.9185257032008</v>
      </c>
      <c r="AK79" s="805">
        <f t="shared" si="198"/>
        <v>50.374332796561561</v>
      </c>
      <c r="AL79" s="805">
        <f t="shared" si="167"/>
        <v>39.847557885620041</v>
      </c>
      <c r="AM79" s="805">
        <v>34.409700000000001</v>
      </c>
      <c r="AN79" s="805">
        <v>39.6798</v>
      </c>
      <c r="AO79" s="805">
        <f t="shared" si="168"/>
        <v>84.458482409063834</v>
      </c>
      <c r="AP79" s="805">
        <v>23.656500000000001</v>
      </c>
      <c r="AQ79" s="805">
        <f t="shared" si="169"/>
        <v>60.329773842205178</v>
      </c>
      <c r="AR79" s="951">
        <f t="shared" si="170"/>
        <v>83.034063804412668</v>
      </c>
      <c r="AS79" s="784">
        <f t="shared" si="171"/>
        <v>74.243813357185473</v>
      </c>
      <c r="AU79" s="952">
        <f t="shared" si="172"/>
        <v>1.3100045667115632</v>
      </c>
      <c r="AV79" s="953" t="str">
        <f t="shared" ca="1" si="199"/>
        <v/>
      </c>
      <c r="AW79" s="953">
        <f t="shared" si="173"/>
        <v>73.633563738898715</v>
      </c>
      <c r="AX79" s="48"/>
      <c r="AY79" s="209"/>
      <c r="AZ79" s="954">
        <f t="shared" si="200"/>
        <v>7.2493045742376472</v>
      </c>
      <c r="BC79" s="327">
        <v>254.16</v>
      </c>
      <c r="BD79" s="328">
        <v>338.625</v>
      </c>
      <c r="BE79" s="327">
        <v>172.99100000000001</v>
      </c>
      <c r="BF79" s="8">
        <v>13.364000000000001</v>
      </c>
      <c r="BG79" s="8">
        <v>40.264000000000003</v>
      </c>
      <c r="BH79" s="8">
        <f t="shared" si="174"/>
        <v>226.61900000000003</v>
      </c>
      <c r="BI79" s="8"/>
      <c r="BJ79" s="8">
        <f t="shared" si="175"/>
        <v>226.61900000000003</v>
      </c>
      <c r="BK79" s="328">
        <v>168.15299999999999</v>
      </c>
      <c r="BL79" s="327">
        <v>0</v>
      </c>
      <c r="BM79" s="8">
        <v>-5.0339999999999998</v>
      </c>
      <c r="BN79" s="8"/>
      <c r="BO79" s="8"/>
      <c r="BP79" s="764">
        <f t="shared" si="176"/>
        <v>-5.0339999999999998</v>
      </c>
      <c r="BQ79" s="820">
        <v>0</v>
      </c>
      <c r="BR79" s="821" t="s">
        <v>1120</v>
      </c>
      <c r="BS79" s="833">
        <f t="shared" si="177"/>
        <v>0</v>
      </c>
      <c r="BT79" s="820">
        <v>0</v>
      </c>
      <c r="BU79" s="821"/>
      <c r="BV79" s="823">
        <f t="shared" si="178"/>
        <v>0</v>
      </c>
      <c r="BW79" s="821">
        <v>0</v>
      </c>
      <c r="BX79" s="821"/>
      <c r="BY79" s="823">
        <f t="shared" si="179"/>
        <v>0</v>
      </c>
      <c r="BZ79" s="821">
        <v>0</v>
      </c>
      <c r="CA79" s="821"/>
      <c r="CB79" s="823">
        <f t="shared" si="180"/>
        <v>0</v>
      </c>
      <c r="CC79" s="958">
        <f t="shared" si="181"/>
        <v>0</v>
      </c>
      <c r="CD79" s="821">
        <v>0</v>
      </c>
      <c r="CE79" s="821"/>
      <c r="CF79" s="823">
        <f t="shared" si="182"/>
        <v>0</v>
      </c>
      <c r="CG79" s="957">
        <f t="shared" si="183"/>
        <v>0</v>
      </c>
      <c r="CH79" s="33">
        <v>-65.302000000000007</v>
      </c>
      <c r="CI79" s="327">
        <v>0</v>
      </c>
      <c r="CJ79" s="8">
        <v>-23.5</v>
      </c>
      <c r="CK79" s="684">
        <f t="shared" si="184"/>
        <v>-23.5</v>
      </c>
      <c r="CL79" s="328">
        <v>-23.5</v>
      </c>
      <c r="CM79" s="339">
        <v>9</v>
      </c>
      <c r="CN79" s="340">
        <v>30</v>
      </c>
      <c r="CO79" s="338" t="s">
        <v>1142</v>
      </c>
      <c r="CR79" t="s">
        <v>1026</v>
      </c>
      <c r="CU79" t="s">
        <v>636</v>
      </c>
      <c r="DB79" s="765"/>
      <c r="DC79" s="338" t="s">
        <v>1065</v>
      </c>
      <c r="DD79" t="s">
        <v>1143</v>
      </c>
      <c r="DO79" s="765"/>
      <c r="DX79" t="s">
        <v>1144</v>
      </c>
      <c r="DY79" s="2" t="s">
        <v>1145</v>
      </c>
      <c r="DZ79" s="695">
        <v>0.2</v>
      </c>
    </row>
    <row r="80" spans="1:130" ht="16" customHeight="1">
      <c r="A80" s="831">
        <f t="shared" si="145"/>
        <v>43465</v>
      </c>
      <c r="B80" s="815">
        <f t="shared" si="146"/>
        <v>4.9390767957723298</v>
      </c>
      <c r="C80" s="805">
        <f t="shared" si="147"/>
        <v>8.7198233643773762</v>
      </c>
      <c r="D80" s="805">
        <f t="shared" si="148"/>
        <v>3.7650115377591846</v>
      </c>
      <c r="E80" s="805">
        <f t="shared" si="149"/>
        <v>18.397113936464571</v>
      </c>
      <c r="F80" s="805">
        <f t="shared" si="150"/>
        <v>1.5130519948149215</v>
      </c>
      <c r="G80" s="784">
        <f t="shared" si="151"/>
        <v>1.9917411467595947</v>
      </c>
      <c r="H80" s="815">
        <f t="shared" si="144"/>
        <v>26.374576603991741</v>
      </c>
      <c r="I80" s="805">
        <f t="shared" si="185"/>
        <v>4.3625105615833437</v>
      </c>
      <c r="J80" s="805">
        <f t="shared" si="186"/>
        <v>-17.704349763703352</v>
      </c>
      <c r="K80" s="805">
        <f t="shared" si="187"/>
        <v>-11.392585702402137</v>
      </c>
      <c r="L80" s="784">
        <f t="shared" si="188"/>
        <v>-9.8452247444631205</v>
      </c>
      <c r="M80" s="805">
        <f t="shared" si="152"/>
        <v>-3.981164383561643</v>
      </c>
      <c r="N80" s="687">
        <f t="shared" si="153"/>
        <v>90.503686027187129</v>
      </c>
      <c r="O80" s="687">
        <f t="shared" si="154"/>
        <v>135.12212306247065</v>
      </c>
      <c r="P80" s="805">
        <f t="shared" si="155"/>
        <v>33.652000000000015</v>
      </c>
      <c r="Q80" s="74">
        <f t="shared" si="156"/>
        <v>169.90800000000002</v>
      </c>
      <c r="R80" s="687">
        <f t="shared" si="157"/>
        <v>-14.203999999999979</v>
      </c>
      <c r="S80" s="687">
        <f t="shared" si="158"/>
        <v>184.11199999999999</v>
      </c>
      <c r="T80" s="687">
        <f t="shared" si="159"/>
        <v>6.5730000000000004</v>
      </c>
      <c r="U80" s="805">
        <f t="shared" si="160"/>
        <v>1.2513897984982563</v>
      </c>
      <c r="V80" s="687">
        <f t="shared" si="161"/>
        <v>0</v>
      </c>
      <c r="W80" s="805">
        <f t="shared" si="162"/>
        <v>0</v>
      </c>
      <c r="X80" s="687">
        <f t="shared" si="163"/>
        <v>177.53899999999999</v>
      </c>
      <c r="Y80" s="805">
        <f t="shared" si="164"/>
        <v>-22.265496003145131</v>
      </c>
      <c r="Z80" s="687">
        <f t="shared" si="165"/>
        <v>-174.018</v>
      </c>
      <c r="AA80" s="767">
        <f t="shared" si="166"/>
        <v>-35.466999999999999</v>
      </c>
      <c r="AB80" s="815">
        <f t="shared" si="189"/>
        <v>-11.391819968453992</v>
      </c>
      <c r="AC80" s="805">
        <f t="shared" si="190"/>
        <v>-11.860317460317454</v>
      </c>
      <c r="AD80" s="805">
        <f t="shared" si="191"/>
        <v>-15.736746904132465</v>
      </c>
      <c r="AE80" s="805">
        <f t="shared" si="192"/>
        <v>-17.525891335176397</v>
      </c>
      <c r="AF80" s="805">
        <f t="shared" si="193"/>
        <v>-22.221162486007309</v>
      </c>
      <c r="AG80" s="805">
        <f t="shared" si="194"/>
        <v>-21.23520876808621</v>
      </c>
      <c r="AH80" s="687">
        <f t="shared" si="195"/>
        <v>-22.58064516129032</v>
      </c>
      <c r="AI80" s="811" t="str">
        <f t="shared" ca="1" si="196"/>
        <v/>
      </c>
      <c r="AJ80" s="784">
        <f t="shared" si="197"/>
        <v>-25.024821396264219</v>
      </c>
      <c r="AK80" s="805">
        <f t="shared" si="198"/>
        <v>31.385845779624631</v>
      </c>
      <c r="AL80" s="805">
        <f t="shared" si="167"/>
        <v>36.609455436499836</v>
      </c>
      <c r="AM80" s="805">
        <v>24.519200000000001</v>
      </c>
      <c r="AN80" s="805">
        <v>28.0626</v>
      </c>
      <c r="AO80" s="805">
        <f t="shared" si="168"/>
        <v>64.428155939890118</v>
      </c>
      <c r="AP80" s="805">
        <v>16.5395</v>
      </c>
      <c r="AQ80" s="805">
        <f t="shared" si="169"/>
        <v>49.756013250756162</v>
      </c>
      <c r="AR80" s="951">
        <f t="shared" si="170"/>
        <v>71.188433055131071</v>
      </c>
      <c r="AS80" s="784">
        <f t="shared" si="171"/>
        <v>58.753891482157009</v>
      </c>
      <c r="AU80" s="952">
        <f t="shared" si="172"/>
        <v>1.2469762799436357</v>
      </c>
      <c r="AV80" s="953" t="str">
        <f t="shared" ca="1" si="199"/>
        <v/>
      </c>
      <c r="AW80" s="953">
        <f t="shared" si="173"/>
        <v>55.010318734235277</v>
      </c>
      <c r="AX80" s="48"/>
      <c r="AY80" s="209"/>
      <c r="AZ80" s="954">
        <f t="shared" si="200"/>
        <v>5.0976839665568541</v>
      </c>
      <c r="BC80" s="327">
        <v>226.79300000000001</v>
      </c>
      <c r="BD80" s="328">
        <v>298.46300000000002</v>
      </c>
      <c r="BE80" s="327">
        <v>136.256</v>
      </c>
      <c r="BF80" s="8">
        <v>15.007999999999999</v>
      </c>
      <c r="BG80" s="8">
        <v>18.643999999999998</v>
      </c>
      <c r="BH80" s="8">
        <f t="shared" si="174"/>
        <v>169.90800000000002</v>
      </c>
      <c r="BI80" s="8"/>
      <c r="BJ80" s="8">
        <f t="shared" si="175"/>
        <v>169.90800000000002</v>
      </c>
      <c r="BK80" s="328">
        <v>184.11199999999999</v>
      </c>
      <c r="BL80" s="327">
        <v>0</v>
      </c>
      <c r="BM80" s="8">
        <v>-6.5730000000000004</v>
      </c>
      <c r="BN80" s="8"/>
      <c r="BO80" s="8"/>
      <c r="BP80" s="764">
        <f t="shared" si="176"/>
        <v>-6.5730000000000004</v>
      </c>
      <c r="BQ80" s="820">
        <v>0</v>
      </c>
      <c r="BR80" s="821" t="s">
        <v>1120</v>
      </c>
      <c r="BS80" s="833">
        <f t="shared" si="177"/>
        <v>0</v>
      </c>
      <c r="BT80" s="820">
        <v>0</v>
      </c>
      <c r="BU80" s="821"/>
      <c r="BV80" s="823">
        <f t="shared" si="178"/>
        <v>0</v>
      </c>
      <c r="BW80" s="821">
        <v>0</v>
      </c>
      <c r="BX80" s="821"/>
      <c r="BY80" s="823">
        <f t="shared" si="179"/>
        <v>0</v>
      </c>
      <c r="BZ80" s="821">
        <v>0</v>
      </c>
      <c r="CA80" s="821"/>
      <c r="CB80" s="823">
        <f t="shared" si="180"/>
        <v>0</v>
      </c>
      <c r="CC80" s="958">
        <f t="shared" si="181"/>
        <v>0</v>
      </c>
      <c r="CD80" s="821">
        <v>0</v>
      </c>
      <c r="CE80" s="821"/>
      <c r="CF80" s="823">
        <f t="shared" si="182"/>
        <v>0</v>
      </c>
      <c r="CG80" s="957">
        <f t="shared" si="183"/>
        <v>0</v>
      </c>
      <c r="CH80" s="33">
        <v>-174.018</v>
      </c>
      <c r="CI80" s="327">
        <v>0</v>
      </c>
      <c r="CJ80" s="8">
        <v>-35.466999999999999</v>
      </c>
      <c r="CK80" s="684">
        <f t="shared" si="184"/>
        <v>-35.466999999999999</v>
      </c>
      <c r="CL80" s="328">
        <v>-35.466999999999999</v>
      </c>
      <c r="CM80" s="339">
        <v>10</v>
      </c>
      <c r="CN80" s="340">
        <v>31</v>
      </c>
      <c r="CO80" s="338" t="s">
        <v>916</v>
      </c>
      <c r="CR80" t="s">
        <v>916</v>
      </c>
      <c r="CU80" t="s">
        <v>916</v>
      </c>
      <c r="DB80" s="765"/>
      <c r="DC80" s="338" t="s">
        <v>916</v>
      </c>
      <c r="DD80" t="s">
        <v>1146</v>
      </c>
      <c r="DO80" s="765"/>
      <c r="DX80" t="s">
        <v>1147</v>
      </c>
      <c r="DY80" s="2" t="s">
        <v>1148</v>
      </c>
      <c r="DZ80" s="695">
        <v>0.1</v>
      </c>
    </row>
    <row r="81" spans="1:130" ht="16" customHeight="1">
      <c r="A81" s="831">
        <f t="shared" si="145"/>
        <v>43830</v>
      </c>
      <c r="B81" s="815">
        <f t="shared" si="146"/>
        <v>4.3747850650945708</v>
      </c>
      <c r="C81" s="805">
        <f t="shared" si="147"/>
        <v>7.6472798316801915</v>
      </c>
      <c r="D81" s="805">
        <f t="shared" si="148"/>
        <v>3.379041607625918</v>
      </c>
      <c r="E81" s="805">
        <f t="shared" si="149"/>
        <v>8.5799108755871369</v>
      </c>
      <c r="F81" s="805">
        <f t="shared" si="150"/>
        <v>1.2347217504038381</v>
      </c>
      <c r="G81" s="784">
        <f t="shared" si="151"/>
        <v>1.7756480558325027</v>
      </c>
      <c r="H81" s="815">
        <f t="shared" si="144"/>
        <v>-11.425044679620534</v>
      </c>
      <c r="I81" s="805">
        <f t="shared" si="185"/>
        <v>-12.300060309464399</v>
      </c>
      <c r="J81" s="805">
        <f t="shared" si="186"/>
        <v>-53.362734474448956</v>
      </c>
      <c r="K81" s="805">
        <f t="shared" si="187"/>
        <v>-18.395286174228865</v>
      </c>
      <c r="L81" s="784">
        <f t="shared" si="188"/>
        <v>-10.849456581175632</v>
      </c>
      <c r="M81" s="805">
        <f t="shared" si="152"/>
        <v>613.94910461828476</v>
      </c>
      <c r="N81" s="687">
        <f t="shared" si="153"/>
        <v>85.848263025074729</v>
      </c>
      <c r="O81" s="687">
        <f t="shared" si="154"/>
        <v>147.69798327594691</v>
      </c>
      <c r="P81" s="805">
        <f t="shared" si="155"/>
        <v>14.612000000000009</v>
      </c>
      <c r="Q81" s="74">
        <f t="shared" si="156"/>
        <v>95.932000000000002</v>
      </c>
      <c r="R81" s="687">
        <f t="shared" si="157"/>
        <v>-24.176000000000002</v>
      </c>
      <c r="S81" s="687">
        <f t="shared" si="158"/>
        <v>120.108</v>
      </c>
      <c r="T81" s="687">
        <f t="shared" si="159"/>
        <v>2.5110000000000001</v>
      </c>
      <c r="U81" s="805">
        <f t="shared" si="160"/>
        <v>0.70495093979421386</v>
      </c>
      <c r="V81" s="687">
        <f t="shared" si="161"/>
        <v>0</v>
      </c>
      <c r="W81" s="805">
        <f t="shared" si="162"/>
        <v>0</v>
      </c>
      <c r="X81" s="687">
        <f t="shared" si="163"/>
        <v>117.59700000000001</v>
      </c>
      <c r="Y81" s="805">
        <f t="shared" si="164"/>
        <v>-4.4279713824140314</v>
      </c>
      <c r="Z81" s="687">
        <f t="shared" si="165"/>
        <v>-122.419</v>
      </c>
      <c r="AA81" s="767">
        <f t="shared" si="166"/>
        <v>-44.677999999999997</v>
      </c>
      <c r="AB81" s="815">
        <f t="shared" si="189"/>
        <v>-32.186400536119528</v>
      </c>
      <c r="AC81" s="805">
        <f t="shared" si="190"/>
        <v>-33.390068450695729</v>
      </c>
      <c r="AD81" s="805">
        <f t="shared" si="191"/>
        <v>-40.477052882771552</v>
      </c>
      <c r="AE81" s="805">
        <f t="shared" si="192"/>
        <v>-46.782803019776757</v>
      </c>
      <c r="AF81" s="805">
        <f t="shared" si="193"/>
        <v>-49.570812680710446</v>
      </c>
      <c r="AG81" s="805">
        <f t="shared" si="194"/>
        <v>-40.318224518553315</v>
      </c>
      <c r="AH81" s="687">
        <f t="shared" si="195"/>
        <v>-36.904761904761898</v>
      </c>
      <c r="AI81" s="811" t="str">
        <f t="shared" ca="1" si="196"/>
        <v/>
      </c>
      <c r="AJ81" s="784">
        <f t="shared" si="197"/>
        <v>-43.538856322244982</v>
      </c>
      <c r="AK81" s="805">
        <f t="shared" si="198"/>
        <v>21.84917299859211</v>
      </c>
      <c r="AL81" s="805">
        <f t="shared" si="167"/>
        <v>27.242150964128264</v>
      </c>
      <c r="AM81" s="805">
        <v>14.5792</v>
      </c>
      <c r="AN81" s="805">
        <v>17.043199999999999</v>
      </c>
      <c r="AO81" s="805">
        <f t="shared" si="168"/>
        <v>47.822532402791637</v>
      </c>
      <c r="AP81" s="805">
        <v>11.0672</v>
      </c>
      <c r="AQ81" s="805">
        <f t="shared" si="169"/>
        <v>31.863686469173125</v>
      </c>
      <c r="AR81" s="951">
        <f t="shared" si="170"/>
        <v>55.705882352941181</v>
      </c>
      <c r="AS81" s="784">
        <f t="shared" si="171"/>
        <v>38.951645064805589</v>
      </c>
      <c r="AU81" s="952">
        <f t="shared" si="172"/>
        <v>1.1796851942941466</v>
      </c>
      <c r="AV81" s="953" t="str">
        <f t="shared" ca="1" si="199"/>
        <v/>
      </c>
      <c r="AW81" s="953">
        <f t="shared" si="173"/>
        <v>35.600145621291702</v>
      </c>
      <c r="AX81" s="48" t="e">
        <f t="array" aca="1" ref="AX81" ca="1">_xll.BDP($BD$1,AX$70,"fund per=A","eqy fund year",YEAR($BB26))/$BG$4</f>
        <v>#NAME?</v>
      </c>
      <c r="AY81" s="209" t="e">
        <f t="array" aca="1" ref="AY81" ca="1">_xll.BDP($BD$1,AY$70,"fund per=A","eqy fund year",YEAR($BB26))/$BG$4</f>
        <v>#NAME?</v>
      </c>
      <c r="AZ81" s="954">
        <f t="shared" si="200"/>
        <v>-10.251493953269097</v>
      </c>
      <c r="BC81" s="327">
        <v>157.38900000000001</v>
      </c>
      <c r="BD81" s="328">
        <v>198.80600000000001</v>
      </c>
      <c r="BE81" s="327">
        <v>81.319999999999993</v>
      </c>
      <c r="BF81" s="8">
        <v>19.824999999999999</v>
      </c>
      <c r="BG81" s="8">
        <v>-5.2130000000000001</v>
      </c>
      <c r="BH81" s="8">
        <f t="shared" si="174"/>
        <v>95.932000000000002</v>
      </c>
      <c r="BI81" s="8"/>
      <c r="BJ81" s="8">
        <f t="shared" si="175"/>
        <v>95.932000000000002</v>
      </c>
      <c r="BK81" s="328">
        <v>120.108</v>
      </c>
      <c r="BL81" s="327">
        <v>0</v>
      </c>
      <c r="BM81" s="8">
        <v>-2.5110000000000001</v>
      </c>
      <c r="BN81" s="8"/>
      <c r="BO81" s="8"/>
      <c r="BP81" s="764">
        <f t="shared" si="176"/>
        <v>-2.5110000000000001</v>
      </c>
      <c r="BQ81" s="820">
        <v>0</v>
      </c>
      <c r="BR81" s="821" t="s">
        <v>1120</v>
      </c>
      <c r="BS81" s="833">
        <f t="shared" si="177"/>
        <v>0</v>
      </c>
      <c r="BT81" s="820">
        <v>0</v>
      </c>
      <c r="BU81" s="821"/>
      <c r="BV81" s="823">
        <f t="shared" si="178"/>
        <v>0</v>
      </c>
      <c r="BW81" s="821">
        <v>0</v>
      </c>
      <c r="BX81" s="821"/>
      <c r="BY81" s="823">
        <f t="shared" si="179"/>
        <v>0</v>
      </c>
      <c r="BZ81" s="821">
        <v>0</v>
      </c>
      <c r="CA81" s="821"/>
      <c r="CB81" s="823">
        <f t="shared" si="180"/>
        <v>0</v>
      </c>
      <c r="CC81" s="958">
        <f t="shared" si="181"/>
        <v>0</v>
      </c>
      <c r="CD81" s="821">
        <v>0</v>
      </c>
      <c r="CE81" s="821"/>
      <c r="CF81" s="823">
        <f t="shared" si="182"/>
        <v>0</v>
      </c>
      <c r="CG81" s="957">
        <f t="shared" si="183"/>
        <v>0</v>
      </c>
      <c r="CH81" s="33">
        <v>-122.419</v>
      </c>
      <c r="CI81" s="327">
        <v>0</v>
      </c>
      <c r="CJ81" s="8">
        <v>-44.677999999999997</v>
      </c>
      <c r="CK81" s="684">
        <f t="shared" si="184"/>
        <v>-44.677999999999997</v>
      </c>
      <c r="CL81" s="328">
        <v>-44.677999999999997</v>
      </c>
      <c r="CM81" s="339">
        <v>11</v>
      </c>
      <c r="CN81" s="340">
        <v>30</v>
      </c>
      <c r="CO81" s="338" t="e">
        <f t="array" aca="1" ref="CO81" ca="1">_xll.BDP($BD$1,"trail 12m ebitda","eqy fund relative period=-4fq","scaling format",$BI$8)</f>
        <v>#NAME?</v>
      </c>
      <c r="CP81" t="e">
        <f ca="1">(F31-CO81)/ABS(CO81)*100</f>
        <v>#NAME?</v>
      </c>
      <c r="CR81" t="e">
        <f t="array" aca="1" ref="CR81" ca="1">_xll.BDP($BD$1,"trail 12m net inc avai com share","eqy fund relative period=-4fq","scaling format",$BI$8)</f>
        <v>#NAME?</v>
      </c>
      <c r="CS81" t="e">
        <f ca="1">(R31-CR81)/ABS(CR81)*100</f>
        <v>#NAME?</v>
      </c>
      <c r="CU81" t="e">
        <f t="array" aca="1" ref="CU81" ca="1">_xll.BDP($BD$1,"trail 12m cash flow net inc","eqy fund relative period","-4fq","scaling format",$BI$8)</f>
        <v>#NAME?</v>
      </c>
      <c r="CV81" t="e">
        <f t="array" aca="1" ref="CV81" ca="1">_xll.BDP($BD$1,"trail 12m amort and depr","eqy fund relative period","-4fq","scaling format",$BI$8)</f>
        <v>#NAME?</v>
      </c>
      <c r="CW81" t="e">
        <f t="array" aca="1" ref="CW81" ca="1">_xll.BDP($BD$1,"trail 12m other non cash adj","eqy fund relative period","-4fq","scaling format",$BI$8)</f>
        <v>#NAME?</v>
      </c>
      <c r="CX81" t="e">
        <f ca="1">IF(ABS(CU81)&gt;0,SUM(CU81:CW81),"")</f>
        <v>#NAME?</v>
      </c>
      <c r="CY81" t="e">
        <f ca="1">(Q86-CX81)/ABS(CX81)*100</f>
        <v>#VALUE!</v>
      </c>
      <c r="DB81" s="765"/>
      <c r="DC81" s="338" t="e">
        <f t="array" aca="1" ref="DC81" ca="1">_xll.BDP($BD$1,"trail 12m cogs","eqy fund relative period=-4fq","scaling format",$BI$8)</f>
        <v>#NAME?</v>
      </c>
      <c r="DD81" t="e">
        <f ca="1">DC81/DC76</f>
        <v>#NAME?</v>
      </c>
      <c r="DO81" s="765"/>
      <c r="DX81" t="s">
        <v>1149</v>
      </c>
      <c r="DY81" s="2" t="s">
        <v>1150</v>
      </c>
      <c r="DZ81" s="695">
        <v>0.1</v>
      </c>
    </row>
    <row r="82" spans="1:130" ht="16" customHeight="1">
      <c r="A82" s="831">
        <f t="shared" si="145"/>
        <v>44196</v>
      </c>
      <c r="B82" s="815">
        <f t="shared" si="146"/>
        <v>4.6517088974232443</v>
      </c>
      <c r="C82" s="805">
        <f t="shared" si="147"/>
        <v>8.3962242230612834</v>
      </c>
      <c r="D82" s="805">
        <f t="shared" si="148"/>
        <v>3.3896020911995355</v>
      </c>
      <c r="E82" s="805">
        <f t="shared" si="149"/>
        <v>11.497971521756423</v>
      </c>
      <c r="F82" s="805">
        <f t="shared" si="150"/>
        <v>1.3869234385944713</v>
      </c>
      <c r="G82" s="784">
        <f t="shared" si="151"/>
        <v>1.9936048035235652</v>
      </c>
      <c r="H82" s="815">
        <f t="shared" si="144"/>
        <v>6.3299985761171795</v>
      </c>
      <c r="I82" s="805">
        <f t="shared" si="185"/>
        <v>9.7936051493559653</v>
      </c>
      <c r="J82" s="805">
        <f t="shared" si="186"/>
        <v>34.010384122662551</v>
      </c>
      <c r="K82" s="805">
        <f t="shared" si="187"/>
        <v>12.326800604334775</v>
      </c>
      <c r="L82" s="784">
        <f t="shared" si="188"/>
        <v>12.274771848798306</v>
      </c>
      <c r="M82" s="805">
        <f t="shared" si="152"/>
        <v>-111.36970621900038</v>
      </c>
      <c r="N82" s="687">
        <f t="shared" si="153"/>
        <v>97.487517451903727</v>
      </c>
      <c r="O82" s="687">
        <f t="shared" si="154"/>
        <v>122.48799848799847</v>
      </c>
      <c r="P82" s="805">
        <f t="shared" si="155"/>
        <v>32.513999999999982</v>
      </c>
      <c r="Q82" s="74">
        <f t="shared" si="156"/>
        <v>164.78899999999999</v>
      </c>
      <c r="R82" s="687">
        <f t="shared" si="157"/>
        <v>2.7680000000000007</v>
      </c>
      <c r="S82" s="687">
        <f t="shared" si="158"/>
        <v>162.02099999999999</v>
      </c>
      <c r="T82" s="687">
        <f t="shared" si="159"/>
        <v>4.242</v>
      </c>
      <c r="U82" s="805">
        <f t="shared" si="160"/>
        <v>0.97826914162763512</v>
      </c>
      <c r="V82" s="687">
        <f t="shared" si="161"/>
        <v>0</v>
      </c>
      <c r="W82" s="805">
        <f t="shared" si="162"/>
        <v>17.620999999999999</v>
      </c>
      <c r="X82" s="687">
        <f t="shared" si="163"/>
        <v>140.15799999999999</v>
      </c>
      <c r="Y82" s="805">
        <f t="shared" si="164"/>
        <v>23.507703281027101</v>
      </c>
      <c r="Z82" s="687">
        <f t="shared" si="165"/>
        <v>-73.486000000000004</v>
      </c>
      <c r="AA82" s="767">
        <f t="shared" si="166"/>
        <v>-17.780999999999999</v>
      </c>
      <c r="AB82" s="815">
        <f t="shared" si="189"/>
        <v>21.737531408357782</v>
      </c>
      <c r="AC82" s="805">
        <f t="shared" si="190"/>
        <v>30.059957948955258</v>
      </c>
      <c r="AD82" s="805">
        <f t="shared" si="191"/>
        <v>51.268054337515444</v>
      </c>
      <c r="AE82" s="805">
        <f t="shared" si="192"/>
        <v>63.031298615115162</v>
      </c>
      <c r="AF82" s="805">
        <f t="shared" si="193"/>
        <v>75.994727209900546</v>
      </c>
      <c r="AG82" s="805">
        <f t="shared" si="194"/>
        <v>62.659862272503709</v>
      </c>
      <c r="AH82" s="687">
        <f t="shared" si="195"/>
        <v>57.547169811320742</v>
      </c>
      <c r="AI82" s="811" t="str">
        <f t="shared" ca="1" si="196"/>
        <v/>
      </c>
      <c r="AJ82" s="784">
        <f t="shared" si="197"/>
        <v>71.776883625901661</v>
      </c>
      <c r="AK82" s="805">
        <f t="shared" si="198"/>
        <v>44.312045238318575</v>
      </c>
      <c r="AL82" s="805">
        <f t="shared" si="167"/>
        <v>35.6318371239161</v>
      </c>
      <c r="AM82" s="805">
        <v>21.837900000000001</v>
      </c>
      <c r="AN82" s="805">
        <v>24.962599999999998</v>
      </c>
      <c r="AO82" s="805">
        <f t="shared" si="168"/>
        <v>75.762619134096838</v>
      </c>
      <c r="AP82" s="805">
        <v>16.4497</v>
      </c>
      <c r="AQ82" s="805">
        <f t="shared" si="169"/>
        <v>47.932039238639902</v>
      </c>
      <c r="AR82" s="951">
        <f t="shared" si="170"/>
        <v>77.715199970575682</v>
      </c>
      <c r="AS82" s="784">
        <f t="shared" si="171"/>
        <v>63.224172095610733</v>
      </c>
      <c r="AU82" s="952">
        <f t="shared" si="172"/>
        <v>1.2458060858060858</v>
      </c>
      <c r="AV82" s="953" t="str">
        <f t="shared" ca="1" si="199"/>
        <v/>
      </c>
      <c r="AW82" s="953">
        <f t="shared" si="173"/>
        <v>55.785939233306294</v>
      </c>
      <c r="AX82" s="48" t="e">
        <f t="array" aca="1" ref="AX82" ca="1">_xll.BDP($BD$1,AX$70,"fund per=A","eqy fund year",YEAR($BB27))/$BG$4</f>
        <v>#NAME?</v>
      </c>
      <c r="AY82" s="209" t="e">
        <f t="array" aca="1" ref="AY82" ca="1">_xll.BDP($BD$1,AY$70,"fund per=A","eqy fund year",YEAR($BB27))/$BG$4</f>
        <v>#NAME?</v>
      </c>
      <c r="AZ82" s="954">
        <f t="shared" si="200"/>
        <v>0.31252895938849168</v>
      </c>
      <c r="BC82" s="327">
        <v>175.05600000000001</v>
      </c>
      <c r="BD82" s="328">
        <v>258.56700000000001</v>
      </c>
      <c r="BE82" s="327">
        <v>132.27500000000001</v>
      </c>
      <c r="BF82" s="8">
        <v>19.175999999999998</v>
      </c>
      <c r="BG82" s="8">
        <v>13.337999999999999</v>
      </c>
      <c r="BH82" s="8">
        <f t="shared" si="174"/>
        <v>164.78899999999999</v>
      </c>
      <c r="BI82" s="8"/>
      <c r="BJ82" s="8">
        <f t="shared" si="175"/>
        <v>164.78899999999999</v>
      </c>
      <c r="BK82" s="328">
        <v>162.02099999999999</v>
      </c>
      <c r="BL82" s="327"/>
      <c r="BM82" s="8">
        <v>-4.242</v>
      </c>
      <c r="BN82" s="8"/>
      <c r="BO82" s="8"/>
      <c r="BP82" s="764">
        <f t="shared" si="176"/>
        <v>-4.242</v>
      </c>
      <c r="BQ82" s="820">
        <v>-17.620999999999999</v>
      </c>
      <c r="BR82" s="821">
        <v>-17.620999999999999</v>
      </c>
      <c r="BS82" s="833">
        <f t="shared" si="177"/>
        <v>17.620999999999999</v>
      </c>
      <c r="BT82" s="820">
        <v>0</v>
      </c>
      <c r="BU82" s="821"/>
      <c r="BV82" s="823">
        <f t="shared" si="178"/>
        <v>0</v>
      </c>
      <c r="BW82" s="821">
        <v>0</v>
      </c>
      <c r="BX82" s="821"/>
      <c r="BY82" s="823">
        <f t="shared" si="179"/>
        <v>0</v>
      </c>
      <c r="BZ82" s="821">
        <v>0</v>
      </c>
      <c r="CA82" s="821"/>
      <c r="CB82" s="823">
        <f t="shared" si="180"/>
        <v>0</v>
      </c>
      <c r="CC82" s="958">
        <f t="shared" si="181"/>
        <v>0</v>
      </c>
      <c r="CD82" s="821">
        <v>0</v>
      </c>
      <c r="CE82" s="821"/>
      <c r="CF82" s="823">
        <f t="shared" si="182"/>
        <v>0</v>
      </c>
      <c r="CG82" s="957">
        <f t="shared" si="183"/>
        <v>0</v>
      </c>
      <c r="CH82" s="33">
        <v>-73.486000000000004</v>
      </c>
      <c r="CI82" s="327">
        <v>0</v>
      </c>
      <c r="CJ82" s="8">
        <v>-17.780999999999999</v>
      </c>
      <c r="CK82" s="684">
        <f t="shared" si="184"/>
        <v>-17.780999999999999</v>
      </c>
      <c r="CL82" s="328">
        <v>-17.780999999999999</v>
      </c>
      <c r="CM82" s="339">
        <v>12</v>
      </c>
      <c r="CN82" s="340">
        <v>31</v>
      </c>
      <c r="CO82" s="338" t="e">
        <f t="array" aca="1" ref="CO82" ca="1">_xll.BDP($BD$1,"trail 12m ebitda","eqy fund relative period=-2fs","scaling format",$BI$8)</f>
        <v>#NAME?</v>
      </c>
      <c r="CP82" t="e">
        <f ca="1">(F31-CO82)/ABS(CO82)*100</f>
        <v>#NAME?</v>
      </c>
      <c r="CR82" t="e">
        <f t="array" aca="1" ref="CR82" ca="1">_xll.BDP($BD$1,"trail 12m net inc avai com share","eqy fund relative period=-2fs","scaling format",$BI$8)</f>
        <v>#NAME?</v>
      </c>
      <c r="CS82" t="e">
        <f ca="1">(R31-CR82)/ABS(CR82)*100</f>
        <v>#NAME?</v>
      </c>
      <c r="CU82" t="e">
        <f t="array" aca="1" ref="CU82" ca="1">_xll.BDP($BD$1,"trail 12m cash flow net inc","eqy fund relative period","-2fs","scaling format",$BI$8)</f>
        <v>#NAME?</v>
      </c>
      <c r="CV82" t="e">
        <f t="array" aca="1" ref="CV82" ca="1">_xll.BDP($BD$1,"trail 12m amort and depr","eqy fund relative period","-2fs","scaling format",$BI$8)</f>
        <v>#NAME?</v>
      </c>
      <c r="CW82" t="e">
        <f t="array" aca="1" ref="CW82" ca="1">_xll.BDP($BD$1,"trail 12m other non cash adj","eqy fund relative period","-2fs","scaling format",$BI$8)</f>
        <v>#NAME?</v>
      </c>
      <c r="CX82" t="e">
        <f ca="1">IF(ABS(CU82)&gt;0,SUM(CU82:CW82),"")</f>
        <v>#NAME?</v>
      </c>
      <c r="CY82" t="e">
        <f ca="1">(Q86-CX82)/ABS(CX82)*100</f>
        <v>#VALUE!</v>
      </c>
      <c r="DB82" s="765"/>
      <c r="DC82" s="338" t="e">
        <f t="array" aca="1" ref="DC82" ca="1">_xll.BDP($BD$1,"trail 12m cogs","eqy fund relative period=-2fs","scaling format",$BI$8)</f>
        <v>#NAME?</v>
      </c>
      <c r="DD82" t="e">
        <f ca="1">DC82/DC77</f>
        <v>#NAME?</v>
      </c>
      <c r="DO82" s="765"/>
      <c r="DX82" t="s">
        <v>1151</v>
      </c>
      <c r="DY82" s="2" t="s">
        <v>1152</v>
      </c>
      <c r="DZ82" s="695">
        <v>0.15</v>
      </c>
    </row>
    <row r="83" spans="1:130" ht="16" customHeight="1">
      <c r="A83" s="831">
        <f t="shared" si="145"/>
        <v>44561</v>
      </c>
      <c r="B83" s="815">
        <f t="shared" si="146"/>
        <v>4.2831166901030056</v>
      </c>
      <c r="C83" s="805">
        <f t="shared" si="147"/>
        <v>7.9375523045794978</v>
      </c>
      <c r="D83" s="805">
        <f t="shared" si="148"/>
        <v>3.2042182650239943</v>
      </c>
      <c r="E83" s="805">
        <f t="shared" si="149"/>
        <v>18.505729809829589</v>
      </c>
      <c r="F83" s="805">
        <f t="shared" si="150"/>
        <v>1.508073751602574</v>
      </c>
      <c r="G83" s="784">
        <f t="shared" si="151"/>
        <v>1.9566904562321612</v>
      </c>
      <c r="H83" s="815">
        <f t="shared" si="144"/>
        <v>-7.9238021004370163</v>
      </c>
      <c r="I83" s="805">
        <f t="shared" si="185"/>
        <v>-5.462835511490816</v>
      </c>
      <c r="J83" s="805">
        <f t="shared" si="186"/>
        <v>60.947779134894439</v>
      </c>
      <c r="K83" s="805">
        <f t="shared" si="187"/>
        <v>8.7351839068260375</v>
      </c>
      <c r="L83" s="784">
        <f t="shared" si="188"/>
        <v>-1.8516381594867903</v>
      </c>
      <c r="M83" s="805">
        <f t="shared" si="152"/>
        <v>54.946080948601839</v>
      </c>
      <c r="N83" s="687">
        <f t="shared" si="153"/>
        <v>100.72803874120908</v>
      </c>
      <c r="O83" s="687">
        <f t="shared" si="154"/>
        <v>98.383607335200537</v>
      </c>
      <c r="P83" s="805">
        <f t="shared" si="155"/>
        <v>55.168000000000006</v>
      </c>
      <c r="Q83" s="74">
        <f t="shared" si="156"/>
        <v>337.58699999999999</v>
      </c>
      <c r="R83" s="687">
        <f t="shared" si="157"/>
        <v>59.733000000000004</v>
      </c>
      <c r="S83" s="687">
        <f t="shared" si="158"/>
        <v>277.85399999999998</v>
      </c>
      <c r="T83" s="687">
        <f t="shared" si="159"/>
        <v>5.3369999999999997</v>
      </c>
      <c r="U83" s="805">
        <f t="shared" si="160"/>
        <v>0.71226763219390965</v>
      </c>
      <c r="V83" s="687">
        <f t="shared" si="161"/>
        <v>0</v>
      </c>
      <c r="W83" s="805">
        <f t="shared" si="162"/>
        <v>23.015000000000001</v>
      </c>
      <c r="X83" s="687">
        <f t="shared" si="163"/>
        <v>249.50200000000001</v>
      </c>
      <c r="Y83" s="805">
        <f t="shared" si="164"/>
        <v>5.188059013370216</v>
      </c>
      <c r="Z83" s="687">
        <f t="shared" si="165"/>
        <v>-129.357</v>
      </c>
      <c r="AA83" s="767">
        <f t="shared" si="166"/>
        <v>-50.095999999999997</v>
      </c>
      <c r="AB83" s="815">
        <f t="shared" si="189"/>
        <v>72.799182700179657</v>
      </c>
      <c r="AC83" s="805">
        <f t="shared" si="190"/>
        <v>72.807048076514008</v>
      </c>
      <c r="AD83" s="805">
        <f t="shared" si="191"/>
        <v>98.269599375281004</v>
      </c>
      <c r="AE83" s="805">
        <f t="shared" si="192"/>
        <v>111.91979180568529</v>
      </c>
      <c r="AF83" s="805">
        <f t="shared" si="193"/>
        <v>120.94722834267762</v>
      </c>
      <c r="AG83" s="805">
        <f t="shared" si="194"/>
        <v>113.50897750897748</v>
      </c>
      <c r="AH83" s="687">
        <f t="shared" si="195"/>
        <v>102.99401197604791</v>
      </c>
      <c r="AI83" s="811" t="str">
        <f t="shared" ca="1" si="196"/>
        <v/>
      </c>
      <c r="AJ83" s="784">
        <f t="shared" si="197"/>
        <v>104.86015450060381</v>
      </c>
      <c r="AK83" s="805">
        <f t="shared" si="198"/>
        <v>76.077171110937513</v>
      </c>
      <c r="AL83" s="805">
        <f t="shared" si="167"/>
        <v>45.604853425139758</v>
      </c>
      <c r="AM83" s="805">
        <v>36.780500000000004</v>
      </c>
      <c r="AN83" s="805">
        <v>42.517299999999999</v>
      </c>
      <c r="AO83" s="805">
        <f t="shared" si="168"/>
        <v>88.156400072073765</v>
      </c>
      <c r="AP83" s="805">
        <v>27.480699999999999</v>
      </c>
      <c r="AQ83" s="805">
        <f t="shared" si="169"/>
        <v>63.918391005862865</v>
      </c>
      <c r="AR83" s="951">
        <f t="shared" si="170"/>
        <v>87.519226199336202</v>
      </c>
      <c r="AS83" s="784">
        <f t="shared" si="171"/>
        <v>79.343815365813526</v>
      </c>
      <c r="AU83" s="952">
        <f t="shared" si="172"/>
        <v>1.1953409650200588</v>
      </c>
      <c r="AV83" s="953" t="str">
        <f t="shared" ca="1" si="199"/>
        <v/>
      </c>
      <c r="AW83" s="953">
        <f t="shared" si="173"/>
        <v>75.230607420181656</v>
      </c>
      <c r="AX83" s="48" t="e">
        <f t="array" aca="1" ref="AX83" ca="1">_xll.BDP($BD$1,AX$70,"fund per=A","eqy fund year",YEAR($BB28))/$BG$4</f>
        <v>#NAME?</v>
      </c>
      <c r="AY83" s="209" t="e">
        <f t="array" aca="1" ref="AY83" ca="1">_xll.BDP($BD$1,AY$70,"fund per=A","eqy fund year",YEAR($BB28))/$BG$4</f>
        <v>#NAME?</v>
      </c>
      <c r="AZ83" s="954">
        <f t="shared" si="200"/>
        <v>-5.4691914032285798</v>
      </c>
      <c r="BC83" s="327">
        <v>302.47500000000002</v>
      </c>
      <c r="BD83" s="328">
        <v>446.822</v>
      </c>
      <c r="BE83" s="327">
        <v>282.41899999999998</v>
      </c>
      <c r="BF83" s="8">
        <v>17.564</v>
      </c>
      <c r="BG83" s="8">
        <v>37.603999999999999</v>
      </c>
      <c r="BH83" s="8">
        <f t="shared" si="174"/>
        <v>337.58699999999999</v>
      </c>
      <c r="BI83" s="8"/>
      <c r="BJ83" s="8">
        <f t="shared" si="175"/>
        <v>337.58699999999999</v>
      </c>
      <c r="BK83" s="328">
        <v>277.85399999999998</v>
      </c>
      <c r="BL83" s="327"/>
      <c r="BM83" s="8">
        <v>-5.3369999999999997</v>
      </c>
      <c r="BN83" s="8"/>
      <c r="BO83" s="8"/>
      <c r="BP83" s="764">
        <f t="shared" si="176"/>
        <v>-5.3369999999999997</v>
      </c>
      <c r="BQ83" s="820">
        <v>-23.015000000000001</v>
      </c>
      <c r="BR83" s="821">
        <v>-23.015000000000001</v>
      </c>
      <c r="BS83" s="833">
        <f t="shared" si="177"/>
        <v>23.015000000000001</v>
      </c>
      <c r="BT83" s="820">
        <v>0</v>
      </c>
      <c r="BU83" s="821"/>
      <c r="BV83" s="823">
        <f t="shared" si="178"/>
        <v>0</v>
      </c>
      <c r="BW83" s="821">
        <v>0</v>
      </c>
      <c r="BX83" s="821"/>
      <c r="BY83" s="823">
        <f t="shared" si="179"/>
        <v>0</v>
      </c>
      <c r="BZ83" s="821">
        <v>0</v>
      </c>
      <c r="CA83" s="821"/>
      <c r="CB83" s="823">
        <f t="shared" si="180"/>
        <v>0</v>
      </c>
      <c r="CC83" s="958">
        <f t="shared" si="181"/>
        <v>0</v>
      </c>
      <c r="CD83" s="821">
        <v>0</v>
      </c>
      <c r="CE83" s="821"/>
      <c r="CF83" s="823">
        <f t="shared" si="182"/>
        <v>0</v>
      </c>
      <c r="CG83" s="957">
        <f t="shared" si="183"/>
        <v>0</v>
      </c>
      <c r="CH83" s="33">
        <v>-129.357</v>
      </c>
      <c r="CI83" s="327">
        <v>0</v>
      </c>
      <c r="CJ83" s="8">
        <v>-50.095999999999997</v>
      </c>
      <c r="CK83" s="684">
        <f t="shared" si="184"/>
        <v>-50.095999999999997</v>
      </c>
      <c r="CL83" s="328">
        <v>-50.095999999999997</v>
      </c>
      <c r="CM83" s="339" t="s">
        <v>1153</v>
      </c>
      <c r="CN83" s="340" t="e">
        <f t="array" aca="1" ref="CN83" ca="1">MONTH(_xll.BDP($BD$1, "BEST_PERIOD_END_DATE", "BEST_FPERIOD_OVERRIDE",RIGHT(BB36,4)&amp;"Y"))</f>
        <v>#NAME?</v>
      </c>
      <c r="CO83" s="338"/>
      <c r="DB83" s="765"/>
      <c r="DC83" s="338"/>
      <c r="DD83" s="45" t="str">
        <f ca="1">IF(ISNUMBER(DD81),DD81,IF(ISNUMBER(DD82),DD82,""))</f>
        <v/>
      </c>
      <c r="DO83" s="765"/>
      <c r="DX83" t="s">
        <v>1154</v>
      </c>
      <c r="DY83" s="2" t="s">
        <v>1155</v>
      </c>
      <c r="DZ83" s="695">
        <v>0</v>
      </c>
    </row>
    <row r="84" spans="1:130" ht="16" customHeight="1">
      <c r="A84" s="831">
        <f t="shared" si="145"/>
        <v>44926</v>
      </c>
      <c r="B84" s="815">
        <f t="shared" si="146"/>
        <v>4.8611989078828799</v>
      </c>
      <c r="C84" s="805">
        <f t="shared" si="147"/>
        <v>7.8473028865464567</v>
      </c>
      <c r="D84" s="805">
        <f t="shared" si="148"/>
        <v>3.0374089473169992</v>
      </c>
      <c r="E84" s="805">
        <f t="shared" si="149"/>
        <v>14.243182534678436</v>
      </c>
      <c r="F84" s="805">
        <f t="shared" si="150"/>
        <v>1.55957661638303</v>
      </c>
      <c r="G84" s="784">
        <f t="shared" si="151"/>
        <v>2.1479467522434184</v>
      </c>
      <c r="H84" s="815">
        <f t="shared" si="144"/>
        <v>13.496765547285893</v>
      </c>
      <c r="I84" s="805">
        <f t="shared" si="185"/>
        <v>-1.1369930498722147</v>
      </c>
      <c r="J84" s="805">
        <f t="shared" si="186"/>
        <v>-23.03366210873261</v>
      </c>
      <c r="K84" s="805">
        <f t="shared" si="187"/>
        <v>3.4151423115564405</v>
      </c>
      <c r="L84" s="784">
        <f t="shared" si="188"/>
        <v>9.7744789116794628</v>
      </c>
      <c r="M84" s="805">
        <f t="shared" si="152"/>
        <v>-1.4637086358809459</v>
      </c>
      <c r="N84" s="687">
        <f t="shared" si="153"/>
        <v>92.531251182562414</v>
      </c>
      <c r="O84" s="687">
        <f t="shared" si="154"/>
        <v>112.97502150452739</v>
      </c>
      <c r="P84" s="805">
        <f t="shared" si="155"/>
        <v>52.777000000000044</v>
      </c>
      <c r="Q84" s="74">
        <f t="shared" si="156"/>
        <v>293.42400000000004</v>
      </c>
      <c r="R84" s="687">
        <f t="shared" si="157"/>
        <v>21.553000000000054</v>
      </c>
      <c r="S84" s="687">
        <f t="shared" si="158"/>
        <v>271.87099999999998</v>
      </c>
      <c r="T84" s="687">
        <f t="shared" si="159"/>
        <v>6.78</v>
      </c>
      <c r="U84" s="805">
        <f t="shared" si="160"/>
        <v>0.93792798151811529</v>
      </c>
      <c r="V84" s="687">
        <f t="shared" si="161"/>
        <v>0</v>
      </c>
      <c r="W84" s="805">
        <f t="shared" si="162"/>
        <v>21.613</v>
      </c>
      <c r="X84" s="687">
        <f t="shared" si="163"/>
        <v>243.47800000000001</v>
      </c>
      <c r="Y84" s="805">
        <f t="shared" si="164"/>
        <v>10.35626301485898</v>
      </c>
      <c r="Z84" s="687">
        <f t="shared" si="165"/>
        <v>-269.46699999999998</v>
      </c>
      <c r="AA84" s="767">
        <f t="shared" si="166"/>
        <v>-146.78100000000001</v>
      </c>
      <c r="AB84" s="815">
        <f t="shared" si="189"/>
        <v>-3.5269058864509026</v>
      </c>
      <c r="AC84" s="805">
        <f t="shared" si="190"/>
        <v>-0.83903657384820429</v>
      </c>
      <c r="AD84" s="805">
        <f t="shared" si="191"/>
        <v>-5.3824142838813973</v>
      </c>
      <c r="AE84" s="805">
        <f t="shared" si="192"/>
        <v>-7.3892494245598916</v>
      </c>
      <c r="AF84" s="805">
        <f t="shared" si="193"/>
        <v>-9.3305687203791372</v>
      </c>
      <c r="AG84" s="805">
        <f t="shared" si="194"/>
        <v>-14.790789571523161</v>
      </c>
      <c r="AH84" s="687">
        <f t="shared" si="195"/>
        <v>-14.454277286135699</v>
      </c>
      <c r="AI84" s="811" t="str">
        <f t="shared" ca="1" si="196"/>
        <v/>
      </c>
      <c r="AJ84" s="784">
        <f t="shared" si="197"/>
        <v>-13.081961094473412</v>
      </c>
      <c r="AK84" s="805">
        <f t="shared" si="198"/>
        <v>38.859535520625762</v>
      </c>
      <c r="AL84" s="805">
        <f t="shared" si="167"/>
        <v>38.286968903879661</v>
      </c>
      <c r="AM84" s="805">
        <v>30.438500000000001</v>
      </c>
      <c r="AN84" s="805">
        <v>35.243099999999998</v>
      </c>
      <c r="AO84" s="805">
        <f t="shared" si="168"/>
        <v>87.188447138527366</v>
      </c>
      <c r="AP84" s="805">
        <v>21.116499999999998</v>
      </c>
      <c r="AQ84" s="805">
        <f t="shared" si="169"/>
        <v>63.454900065587353</v>
      </c>
      <c r="AR84" s="951">
        <f t="shared" si="170"/>
        <v>94.225946395673617</v>
      </c>
      <c r="AS84" s="784">
        <f t="shared" si="171"/>
        <v>81.859511499375998</v>
      </c>
      <c r="AU84" s="952">
        <f t="shared" si="172"/>
        <v>1.2193129355445946</v>
      </c>
      <c r="AV84" s="953" t="str">
        <f t="shared" ca="1" si="199"/>
        <v/>
      </c>
      <c r="AW84" s="953">
        <f t="shared" si="173"/>
        <v>69.683680311225771</v>
      </c>
      <c r="AX84" s="48" t="e">
        <f t="array" aca="1" ref="AX84" ca="1">_xll.BDP($BD$1,AX$70,"fund per=A","eqy fund year",YEAR($BB29))/$BG$4</f>
        <v>#NAME?</v>
      </c>
      <c r="AY84" s="209" t="e">
        <f t="array" aca="1" ref="AY84" ca="1">_xll.BDP($BD$1,AY$70,"fund per=A","eqy fund year",YEAR($BB29))/$BG$4</f>
        <v>#NAME?</v>
      </c>
      <c r="AZ84" s="954">
        <f t="shared" si="200"/>
        <v>-5.2059286824440498</v>
      </c>
      <c r="BC84" s="327">
        <v>279.79700000000003</v>
      </c>
      <c r="BD84" s="328">
        <v>443.07299999999998</v>
      </c>
      <c r="BE84" s="327">
        <v>240.64699999999999</v>
      </c>
      <c r="BF84" s="8">
        <v>22.992000000000001</v>
      </c>
      <c r="BG84" s="8">
        <v>29.785</v>
      </c>
      <c r="BH84" s="8">
        <f t="shared" si="174"/>
        <v>293.42400000000004</v>
      </c>
      <c r="BI84" s="8"/>
      <c r="BJ84" s="8">
        <f t="shared" si="175"/>
        <v>293.42400000000004</v>
      </c>
      <c r="BK84" s="328">
        <v>271.87099999999998</v>
      </c>
      <c r="BL84" s="327"/>
      <c r="BM84" s="8">
        <v>-6.78</v>
      </c>
      <c r="BN84" s="8"/>
      <c r="BO84" s="8"/>
      <c r="BP84" s="764">
        <f t="shared" si="176"/>
        <v>-6.78</v>
      </c>
      <c r="BQ84" s="820">
        <v>-21.613</v>
      </c>
      <c r="BR84" s="821">
        <v>-21.613</v>
      </c>
      <c r="BS84" s="833">
        <f t="shared" si="177"/>
        <v>21.613</v>
      </c>
      <c r="BT84" s="820">
        <v>0</v>
      </c>
      <c r="BU84" s="821"/>
      <c r="BV84" s="823">
        <f t="shared" si="178"/>
        <v>0</v>
      </c>
      <c r="BW84" s="821">
        <v>0</v>
      </c>
      <c r="BX84" s="821"/>
      <c r="BY84" s="823">
        <f t="shared" si="179"/>
        <v>0</v>
      </c>
      <c r="BZ84" s="821">
        <v>0</v>
      </c>
      <c r="CA84" s="821"/>
      <c r="CB84" s="823">
        <f t="shared" si="180"/>
        <v>0</v>
      </c>
      <c r="CC84" s="958">
        <f t="shared" si="181"/>
        <v>0</v>
      </c>
      <c r="CD84" s="821">
        <v>0</v>
      </c>
      <c r="CE84" s="821"/>
      <c r="CF84" s="823">
        <f t="shared" si="182"/>
        <v>0</v>
      </c>
      <c r="CG84" s="957">
        <f t="shared" si="183"/>
        <v>0</v>
      </c>
      <c r="CH84" s="33">
        <v>-269.46699999999998</v>
      </c>
      <c r="CI84" s="327">
        <v>0</v>
      </c>
      <c r="CJ84" s="8">
        <v>-146.78100000000001</v>
      </c>
      <c r="CK84" s="684">
        <f t="shared" si="184"/>
        <v>-146.78100000000001</v>
      </c>
      <c r="CL84" s="328">
        <v>-146.78100000000001</v>
      </c>
      <c r="CM84" s="339" t="s">
        <v>1156</v>
      </c>
      <c r="CN84" s="340" t="e">
        <f ca="1">VLOOKUP(CN83,$CM$71:$CN$82,2,FALSE)</f>
        <v>#NAME?</v>
      </c>
      <c r="CO84" s="338"/>
      <c r="DB84" s="765"/>
      <c r="DC84" s="338"/>
      <c r="DO84" s="765"/>
      <c r="DX84" t="s">
        <v>1157</v>
      </c>
      <c r="DY84" s="2" t="s">
        <v>1158</v>
      </c>
      <c r="DZ84" s="695">
        <v>0</v>
      </c>
    </row>
    <row r="85" spans="1:130" ht="16" customHeight="1">
      <c r="A85" s="831">
        <f t="shared" si="145"/>
        <v>45291</v>
      </c>
      <c r="B85" s="815">
        <f t="shared" si="146"/>
        <v>3.9690219068188828</v>
      </c>
      <c r="C85" s="805">
        <f t="shared" si="147"/>
        <v>6.2576293173341977</v>
      </c>
      <c r="D85" s="805">
        <f t="shared" si="148"/>
        <v>2.1952759310307552</v>
      </c>
      <c r="E85" s="805">
        <f t="shared" si="149"/>
        <v>10.3816851393522</v>
      </c>
      <c r="F85" s="805">
        <f t="shared" si="150"/>
        <v>1.1982834999047767</v>
      </c>
      <c r="G85" s="784">
        <f t="shared" si="151"/>
        <v>1.6827090225170489</v>
      </c>
      <c r="H85" s="815">
        <f t="shared" si="144"/>
        <v>-18.353023975572157</v>
      </c>
      <c r="I85" s="805">
        <f t="shared" si="185"/>
        <v>-20.257578841994505</v>
      </c>
      <c r="J85" s="805">
        <f t="shared" si="186"/>
        <v>-27.111197837453084</v>
      </c>
      <c r="K85" s="805">
        <f t="shared" si="187"/>
        <v>-23.166102433374792</v>
      </c>
      <c r="L85" s="784">
        <f t="shared" si="188"/>
        <v>-21.659649115624159</v>
      </c>
      <c r="M85" s="805">
        <f t="shared" si="152"/>
        <v>9.942819800686161</v>
      </c>
      <c r="N85" s="687">
        <f t="shared" si="153"/>
        <v>98.438885264548944</v>
      </c>
      <c r="O85" s="688">
        <f t="shared" si="154"/>
        <v>117.78139188181879</v>
      </c>
      <c r="P85" s="797">
        <f t="shared" si="155"/>
        <v>58.307000000000016</v>
      </c>
      <c r="Q85" s="89">
        <f t="shared" si="156"/>
        <v>235.39100000000002</v>
      </c>
      <c r="R85" s="688">
        <f t="shared" si="157"/>
        <v>26.819000000000017</v>
      </c>
      <c r="S85" s="688">
        <f t="shared" si="158"/>
        <v>208.572</v>
      </c>
      <c r="T85" s="688">
        <f t="shared" si="159"/>
        <v>6.899</v>
      </c>
      <c r="U85" s="797">
        <f t="shared" si="160"/>
        <v>1.1918211939978787</v>
      </c>
      <c r="V85" s="688">
        <f t="shared" si="161"/>
        <v>0</v>
      </c>
      <c r="W85" s="805">
        <f t="shared" si="162"/>
        <v>0</v>
      </c>
      <c r="X85" s="688">
        <f t="shared" si="163"/>
        <v>201.673</v>
      </c>
      <c r="Y85" s="797">
        <f t="shared" si="164"/>
        <v>6.9811673290230702</v>
      </c>
      <c r="Z85" s="688">
        <f t="shared" si="165"/>
        <v>-222.10900000000001</v>
      </c>
      <c r="AA85" s="758">
        <f t="shared" si="166"/>
        <v>-213.387</v>
      </c>
      <c r="AB85" s="796">
        <f t="shared" si="189"/>
        <v>-19.921700997413094</v>
      </c>
      <c r="AC85" s="797">
        <f t="shared" si="190"/>
        <v>-15.185985153687987</v>
      </c>
      <c r="AD85" s="797">
        <f t="shared" si="191"/>
        <v>-24.592252481804309</v>
      </c>
      <c r="AE85" s="797">
        <f t="shared" si="192"/>
        <v>-27.446313699356718</v>
      </c>
      <c r="AF85" s="797">
        <f t="shared" si="193"/>
        <v>-24.611056662673786</v>
      </c>
      <c r="AG85" s="797">
        <f t="shared" si="194"/>
        <v>-26.413377270441764</v>
      </c>
      <c r="AH85" s="688">
        <f t="shared" si="195"/>
        <v>-23.103448275862068</v>
      </c>
      <c r="AI85" s="811" t="str">
        <f t="shared" ca="1" si="196"/>
        <v/>
      </c>
      <c r="AJ85" s="784">
        <f t="shared" si="197"/>
        <v>-19.777864114728178</v>
      </c>
      <c r="AK85" s="797">
        <f t="shared" si="198"/>
        <v>28.174087361881199</v>
      </c>
      <c r="AL85" s="797">
        <f t="shared" si="167"/>
        <v>42.021484861644041</v>
      </c>
      <c r="AM85" s="797">
        <v>24.441199999999998</v>
      </c>
      <c r="AN85" s="797">
        <v>30.247699999999998</v>
      </c>
      <c r="AO85" s="797">
        <f t="shared" si="168"/>
        <v>68.42642279495125</v>
      </c>
      <c r="AP85" s="797">
        <v>17.431699999999999</v>
      </c>
      <c r="AQ85" s="797">
        <f t="shared" si="169"/>
        <v>44.173587592842537</v>
      </c>
      <c r="AR85" s="959">
        <f t="shared" si="170"/>
        <v>69.51157828642522</v>
      </c>
      <c r="AS85" s="798">
        <f t="shared" si="171"/>
        <v>60.373656273437085</v>
      </c>
      <c r="AU85" s="960">
        <f t="shared" si="172"/>
        <v>1.3292618192496217</v>
      </c>
      <c r="AV85" s="961" t="str">
        <f t="shared" ca="1" si="199"/>
        <v/>
      </c>
      <c r="AW85" s="961">
        <f t="shared" si="173"/>
        <v>48.922136606547191</v>
      </c>
      <c r="AX85" s="54" t="e">
        <f t="array" aca="1" ref="AX85" ca="1">_xll.BDP($BD$1,AX$70,"fund per=A","eqy fund year",YEAR($BB30))/$BG$4</f>
        <v>#NAME?</v>
      </c>
      <c r="AY85" s="246" t="e">
        <f t="array" aca="1" ref="AY85" ca="1">_xll.BDP($BD$1,AY$70,"fund per=A","eqy fund year",YEAR($BB30))/$BG$4</f>
        <v>#NAME?</v>
      </c>
      <c r="AZ85" s="954">
        <f t="shared" si="200"/>
        <v>-27.72537484720705</v>
      </c>
      <c r="BC85" s="329">
        <v>203.07400000000001</v>
      </c>
      <c r="BD85" s="330">
        <v>375.78800000000001</v>
      </c>
      <c r="BE85" s="329">
        <v>177.084</v>
      </c>
      <c r="BF85" s="16">
        <v>25.731999999999999</v>
      </c>
      <c r="BG85" s="16">
        <v>32.575000000000003</v>
      </c>
      <c r="BH85" s="16">
        <f t="shared" si="174"/>
        <v>235.39100000000002</v>
      </c>
      <c r="BI85" s="16"/>
      <c r="BJ85" s="16">
        <f t="shared" si="175"/>
        <v>235.39100000000002</v>
      </c>
      <c r="BK85" s="330">
        <v>208.572</v>
      </c>
      <c r="BL85" s="329"/>
      <c r="BM85" s="16">
        <v>-6.899</v>
      </c>
      <c r="BN85" s="16"/>
      <c r="BO85" s="16"/>
      <c r="BP85" s="421">
        <f t="shared" si="176"/>
        <v>-6.899</v>
      </c>
      <c r="BQ85" s="838" t="s">
        <v>1120</v>
      </c>
      <c r="BR85" s="836" t="s">
        <v>1120</v>
      </c>
      <c r="BS85" s="840" t="str">
        <f t="shared" si="177"/>
        <v/>
      </c>
      <c r="BT85" s="838">
        <v>0</v>
      </c>
      <c r="BU85" s="836"/>
      <c r="BV85" s="962">
        <f t="shared" si="178"/>
        <v>0</v>
      </c>
      <c r="BW85" s="836">
        <v>0</v>
      </c>
      <c r="BX85" s="836"/>
      <c r="BY85" s="962">
        <f t="shared" si="179"/>
        <v>0</v>
      </c>
      <c r="BZ85" s="836">
        <v>0</v>
      </c>
      <c r="CA85" s="836"/>
      <c r="CB85" s="962">
        <f t="shared" si="180"/>
        <v>0</v>
      </c>
      <c r="CC85" s="963">
        <f t="shared" si="181"/>
        <v>0</v>
      </c>
      <c r="CD85" s="836">
        <v>0</v>
      </c>
      <c r="CE85" s="836"/>
      <c r="CF85" s="962">
        <f t="shared" si="182"/>
        <v>0</v>
      </c>
      <c r="CG85" s="964">
        <f t="shared" si="183"/>
        <v>0</v>
      </c>
      <c r="CH85" s="34">
        <v>-222.10900000000001</v>
      </c>
      <c r="CI85" s="329">
        <v>0</v>
      </c>
      <c r="CJ85" s="16">
        <v>-213.387</v>
      </c>
      <c r="CK85" s="308">
        <f t="shared" si="184"/>
        <v>-213.387</v>
      </c>
      <c r="CL85" s="330">
        <v>-213.387</v>
      </c>
      <c r="CM85" s="323" t="s">
        <v>1159</v>
      </c>
      <c r="CN85" s="324" t="e">
        <f ca="1">RIGHT(BB36,4)</f>
        <v>#NAME?</v>
      </c>
      <c r="CO85" s="338"/>
      <c r="DB85" s="765"/>
      <c r="DC85" s="377"/>
      <c r="DD85" s="753"/>
      <c r="DE85" s="753"/>
      <c r="DF85" s="753"/>
      <c r="DG85" s="753"/>
      <c r="DH85" s="753"/>
      <c r="DI85" s="753"/>
      <c r="DJ85" s="753"/>
      <c r="DK85" s="753"/>
      <c r="DL85" s="753"/>
      <c r="DM85" s="753"/>
      <c r="DN85" s="753"/>
      <c r="DO85" s="179"/>
      <c r="DX85" t="s">
        <v>1160</v>
      </c>
      <c r="DY85" s="2" t="s">
        <v>1161</v>
      </c>
      <c r="DZ85" s="695">
        <v>0.15</v>
      </c>
    </row>
    <row r="86" spans="1:130" ht="16" customHeight="1" thickBot="1">
      <c r="A86" s="80" t="str">
        <f>A31</f>
        <v>T12M</v>
      </c>
      <c r="B86" s="937" t="str">
        <f t="shared" ca="1" si="146"/>
        <v/>
      </c>
      <c r="C86" s="804" t="str">
        <f t="shared" ca="1" si="147"/>
        <v/>
      </c>
      <c r="D86" s="804" t="str">
        <f t="shared" ca="1" si="148"/>
        <v/>
      </c>
      <c r="E86" s="804" t="str">
        <f t="shared" ca="1" si="149"/>
        <v/>
      </c>
      <c r="F86" s="804" t="str">
        <f t="shared" ca="1" si="150"/>
        <v/>
      </c>
      <c r="G86" s="852" t="str">
        <f t="shared" ca="1" si="151"/>
        <v/>
      </c>
      <c r="H86" s="937" t="str">
        <f ca="1">IFERROR((B86/DD73-1)*100,"")</f>
        <v/>
      </c>
      <c r="I86" s="804" t="str">
        <f ca="1">IFERROR((C86/DD78-1)*100,"")</f>
        <v/>
      </c>
      <c r="J86" s="804" t="str">
        <f ca="1">IFERROR((E86/DG73-1)*100,"")</f>
        <v/>
      </c>
      <c r="K86" s="804" t="str">
        <f ca="1">IFERROR((F86/DN78-1)*100,"")</f>
        <v/>
      </c>
      <c r="L86" s="852" t="str">
        <f ca="1">IFERROR((G86/DO78-1)*100,"")</f>
        <v/>
      </c>
      <c r="M86" s="804" t="str">
        <f t="shared" ca="1" si="152"/>
        <v/>
      </c>
      <c r="N86" s="82" t="str">
        <f t="shared" ca="1" si="153"/>
        <v/>
      </c>
      <c r="O86" s="82" t="str">
        <f ca="1">IFERROR(IF(ISNUMBER(R31),S86/R31*100,IF(ISNUMBER(O31),S86/O31*100,"")),"")</f>
        <v/>
      </c>
      <c r="P86" s="804" t="str">
        <f t="shared" ca="1" si="155"/>
        <v/>
      </c>
      <c r="Q86" s="89" t="str">
        <f t="shared" ca="1" si="156"/>
        <v/>
      </c>
      <c r="R86" s="82" t="str">
        <f t="shared" ca="1" si="157"/>
        <v/>
      </c>
      <c r="S86" s="82" t="str">
        <f ca="1">IFERROR(BI86+BK86,"")</f>
        <v/>
      </c>
      <c r="T86" s="82" t="str">
        <f t="shared" ca="1" si="159"/>
        <v/>
      </c>
      <c r="U86" s="804" t="str">
        <f t="shared" ca="1" si="160"/>
        <v/>
      </c>
      <c r="V86" s="82">
        <f t="shared" si="161"/>
        <v>0</v>
      </c>
      <c r="W86" s="804">
        <f t="shared" ca="1" si="162"/>
        <v>0</v>
      </c>
      <c r="X86" s="82" t="str">
        <f t="shared" ca="1" si="163"/>
        <v/>
      </c>
      <c r="Y86" s="804" t="str">
        <f t="shared" ca="1" si="164"/>
        <v/>
      </c>
      <c r="Z86" s="82" t="str">
        <f t="shared" ca="1" si="165"/>
        <v/>
      </c>
      <c r="AA86" s="136" t="str">
        <f t="shared" ca="1" si="166"/>
        <v/>
      </c>
      <c r="AB86" s="937" t="str">
        <f ca="1">IF(ISNUMBER(CP71),CP71,IF(ISNUMBER(CP72),CP72,""))</f>
        <v/>
      </c>
      <c r="AC86" s="804" t="str">
        <f ca="1">IF(ISNUMBER(CP76),CP76,IF(ISNUMBER(CP77),CP77,""))</f>
        <v/>
      </c>
      <c r="AD86" s="804" t="str">
        <f ca="1">IF(ISNUMBER(CP81),CP81,IF(ISNUMBER(CP82),CP82,""))</f>
        <v/>
      </c>
      <c r="AE86" s="804" t="str">
        <f ca="1">IF(ISNUMBER(CS71),CS71,IF(ISNUMBER(CS72),CS72,""))</f>
        <v/>
      </c>
      <c r="AF86" s="804" t="str">
        <f ca="1">IF(ISNUMBER(CS76),CS76,IF(ISNUMBER(CS77),CS77,""))</f>
        <v/>
      </c>
      <c r="AG86" s="804" t="str">
        <f ca="1">IF(ISNUMBER(CS81),CS81,IF(ISNUMBER(CS82),CS82,""))</f>
        <v/>
      </c>
      <c r="AH86" s="804" t="str">
        <f ca="1">IF(ISNUMBER(CV71),CV71,IF(ISNUMBER(CV72),CV72,""))</f>
        <v/>
      </c>
      <c r="AI86" s="935" t="str">
        <f ca="1">IF(ISNUMBER(DB76),DB76,IF(ISNUMBER(DB77),DB77,""))</f>
        <v/>
      </c>
      <c r="AJ86" s="852" t="str">
        <f ca="1">IF(ISNUMBER(CY81),CY81,IF(ISNUMBER(CY82),CY82,""))</f>
        <v/>
      </c>
      <c r="AK86" s="804" t="str">
        <f t="shared" ca="1" si="198"/>
        <v/>
      </c>
      <c r="AL86" s="804" t="str">
        <f t="shared" ca="1" si="167"/>
        <v/>
      </c>
      <c r="AM86" s="804" t="e">
        <f t="array" aca="1" ref="AM86" ca="1">_xll.BDP($BD$1,AM70)</f>
        <v>#NAME?</v>
      </c>
      <c r="AN86" s="804" t="e">
        <f t="array" aca="1" ref="AN86" ca="1">_xll.BDP($BD$1,AN70)</f>
        <v>#NAME?</v>
      </c>
      <c r="AO86" s="797" t="str">
        <f t="shared" ca="1" si="168"/>
        <v/>
      </c>
      <c r="AP86" s="804" t="e">
        <f t="array" aca="1" ref="AP86" ca="1">_xll.BDP($BD$1,AP70)</f>
        <v>#NAME?</v>
      </c>
      <c r="AQ86" s="804" t="str">
        <f t="shared" ca="1" si="169"/>
        <v/>
      </c>
      <c r="AR86" s="804" t="str">
        <f t="shared" ca="1" si="170"/>
        <v/>
      </c>
      <c r="AS86" s="852" t="str">
        <f t="shared" ca="1" si="171"/>
        <v/>
      </c>
      <c r="AU86" s="965">
        <f t="shared" ca="1" si="172"/>
        <v>0</v>
      </c>
      <c r="AV86" s="966" t="str">
        <f t="shared" ca="1" si="199"/>
        <v/>
      </c>
      <c r="AW86" s="966" t="str">
        <f t="shared" ca="1" si="173"/>
        <v/>
      </c>
      <c r="AX86" s="966"/>
      <c r="AY86" s="967"/>
      <c r="AZ86" s="968" t="str">
        <f ca="1">IFERROR((D86/DD83-1)*100,"")</f>
        <v/>
      </c>
      <c r="BC86" s="418" t="e">
        <f t="array" aca="1" ref="BC86" ca="1">_xll.BDP($BD$1,"trail 12m cogs","scaling format",$BI$8)</f>
        <v>#NAME?</v>
      </c>
      <c r="BD86" s="419" t="e">
        <f t="array" aca="1" ref="BD86" ca="1">_xll.BDP($BD$1,"trail 12m gross profit","scaling format",$BI$8)</f>
        <v>#NAME?</v>
      </c>
      <c r="BE86" s="418" t="e">
        <f t="array" aca="1" ref="BE86" ca="1">_xll.BDP($BD$1,"trail 12m cash flow net inc","scaling format",$BI$8)</f>
        <v>#NAME?</v>
      </c>
      <c r="BF86" s="332" t="e">
        <f t="array" aca="1" ref="BF86" ca="1">_xll.BDP($BD$1,"trail 12m amort and depr","scaling format",$BI$8)</f>
        <v>#NAME?</v>
      </c>
      <c r="BG86" s="332" t="e">
        <f t="array" aca="1" ref="BG86" ca="1">_xll.BDP($BD$1,"trail 12m other non cash adj","scaling format",$BI$8)</f>
        <v>#NAME?</v>
      </c>
      <c r="BH86" s="332" t="str">
        <f t="shared" ca="1" si="174"/>
        <v/>
      </c>
      <c r="BI86" s="420"/>
      <c r="BJ86" s="332" t="e">
        <f t="shared" ca="1" si="175"/>
        <v>#VALUE!</v>
      </c>
      <c r="BK86" s="419" t="e">
        <f t="array" aca="1" ref="BK86" ca="1">_xll.BDP($BD$1,"trail 12m cash from oper","scaling format",$BI$8)</f>
        <v>#NAME?</v>
      </c>
      <c r="BL86" s="418" t="e">
        <f t="array" aca="1" ref="BL86" ca="1">_xll.BDP($BD$1,"trail 12m disp fix asset","scaling format",$BI$8)</f>
        <v>#NAME?</v>
      </c>
      <c r="BM86" s="332" t="e">
        <f t="array" aca="1" ref="BM86" ca="1">_xll.BDP($BD$1,"trail 12m cap expend","scaling format",$BI$8)</f>
        <v>#NAME?</v>
      </c>
      <c r="BN86" s="332"/>
      <c r="BO86" s="332"/>
      <c r="BP86" s="422" t="str">
        <f t="shared" ca="1" si="176"/>
        <v/>
      </c>
      <c r="BQ86" s="862" t="e">
        <f t="array" aca="1" ref="BQ86" ca="1">_xll.BDP(BD1,BQ70,"eqy fund crncy",BJ4,"fund per=Y","scaling format",$BI$8)</f>
        <v>#NAME?</v>
      </c>
      <c r="BR86" s="856" t="e">
        <f t="array" aca="1" ref="BR86" ca="1">_xll.BDP(BD1,BR70,"eqy fund crncy",BJ4,"fund per=Y","scaling format",$BI$8)</f>
        <v>#NAME?</v>
      </c>
      <c r="BS86" s="863" t="str">
        <f t="shared" ca="1" si="177"/>
        <v/>
      </c>
      <c r="BT86" s="418"/>
      <c r="BU86" s="855"/>
      <c r="BV86" s="969"/>
      <c r="BW86" s="332" t="e">
        <f t="array" aca="1" ref="BW86" ca="1">_xll.BDP(BD1,"trail 12m net cash paid for aqui","eqy fund crncy",BJ4,"scaling format",$BI$8)</f>
        <v>#NAME?</v>
      </c>
      <c r="BX86" s="332"/>
      <c r="BY86" s="761"/>
      <c r="BZ86" s="332"/>
      <c r="CA86" s="332"/>
      <c r="CB86" s="761"/>
      <c r="CC86" s="427"/>
      <c r="CD86" s="332"/>
      <c r="CE86" s="332"/>
      <c r="CF86" s="428"/>
      <c r="CG86" s="429"/>
      <c r="CH86" s="431" t="e">
        <f t="array" aca="1" ref="CH86" ca="1">_xll.BDP($BD$1,"trail 12m dvd paid","scaling format",$BI$8)</f>
        <v>#NAME?</v>
      </c>
      <c r="CI86" s="418" t="e">
        <f t="array" aca="1" ref="CI86" ca="1">_xll.BDP($BD$1,"trail 12m incr cap stock","scaling format",$BI$8)</f>
        <v>#NAME?</v>
      </c>
      <c r="CJ86" s="332" t="e">
        <f t="array" aca="1" ref="CJ86" ca="1">_xll.BDP($BD$1,"trail 12m decr cap stock","scaling format",$BI$8)</f>
        <v>#NAME?</v>
      </c>
      <c r="CK86" s="761" t="e">
        <f t="shared" ca="1" si="184"/>
        <v>#NAME?</v>
      </c>
      <c r="CL86" s="419" t="e">
        <f t="array" aca="1" ref="CL86" ca="1">_xll.BDP($BD$1,"t12m net capital stock","scaling format",$BI$8)</f>
        <v>#NAME?</v>
      </c>
      <c r="CM86" s="434" t="s">
        <v>1162</v>
      </c>
      <c r="CN86" s="435" t="e">
        <f ca="1">CN83 &amp; "/" &amp; CN84 &amp; "/" &amp; CN85</f>
        <v>#NAME?</v>
      </c>
      <c r="CO86" s="341"/>
      <c r="CP86" s="342"/>
      <c r="CQ86" s="342"/>
      <c r="CR86" s="342"/>
      <c r="CS86" s="342"/>
      <c r="CT86" s="342"/>
      <c r="CU86" s="342"/>
      <c r="CV86" s="342"/>
      <c r="CW86" s="342"/>
      <c r="CX86" s="342"/>
      <c r="CY86" s="342"/>
      <c r="CZ86" s="342"/>
      <c r="DA86" s="342"/>
      <c r="DB86" s="343"/>
      <c r="DC86" s="341"/>
      <c r="DD86" s="342"/>
      <c r="DE86" s="342"/>
      <c r="DF86" s="342"/>
      <c r="DG86" s="342"/>
      <c r="DH86" s="342"/>
      <c r="DI86" s="342"/>
      <c r="DJ86" s="342"/>
      <c r="DK86" s="342"/>
      <c r="DL86" s="342"/>
      <c r="DM86" s="342"/>
      <c r="DN86" s="342"/>
      <c r="DO86" s="343"/>
      <c r="DX86" t="s">
        <v>1163</v>
      </c>
      <c r="DY86" s="2" t="s">
        <v>1164</v>
      </c>
      <c r="DZ86" s="695">
        <v>7.0000000000000007E-2</v>
      </c>
    </row>
    <row r="87" spans="1:130" ht="16" customHeight="1" thickBot="1">
      <c r="A87" s="118"/>
      <c r="B87" s="86"/>
      <c r="C87" s="86"/>
      <c r="AB87" s="2"/>
      <c r="AC87" s="2"/>
      <c r="AD87" s="2"/>
      <c r="AE87" s="2"/>
      <c r="AF87" s="2"/>
      <c r="AG87" s="230"/>
      <c r="AH87" s="230"/>
      <c r="AI87" s="230"/>
      <c r="AJ87" s="230"/>
      <c r="AK87" s="224" t="s">
        <v>1165</v>
      </c>
      <c r="AT87" s="27"/>
      <c r="AU87" s="46"/>
      <c r="AV87" s="46"/>
      <c r="AW87" s="46"/>
      <c r="AX87" s="2"/>
      <c r="AY87" s="46"/>
      <c r="AZ87" s="46"/>
      <c r="BK87" s="1"/>
      <c r="DX87" t="s">
        <v>1166</v>
      </c>
      <c r="DY87" s="2" t="s">
        <v>1167</v>
      </c>
      <c r="DZ87" s="695">
        <v>0.15</v>
      </c>
    </row>
    <row r="88" spans="1:130" ht="16" customHeight="1">
      <c r="A88" s="286" t="s">
        <v>1168</v>
      </c>
      <c r="B88" s="970" t="str">
        <f ca="1">IF(ISNUMBER(CX1),CX1,"")</f>
        <v/>
      </c>
      <c r="C88" s="290" t="s">
        <v>1169</v>
      </c>
      <c r="D88" s="245"/>
      <c r="E88" s="244" t="s">
        <v>554</v>
      </c>
      <c r="F88" s="244" t="s">
        <v>1170</v>
      </c>
      <c r="G88" s="244" t="s">
        <v>1171</v>
      </c>
      <c r="H88" s="291" t="s">
        <v>1172</v>
      </c>
      <c r="I88" s="288" t="s">
        <v>1173</v>
      </c>
      <c r="J88" s="239"/>
      <c r="K88" s="239"/>
      <c r="L88" s="288" t="s">
        <v>1174</v>
      </c>
      <c r="M88" s="239"/>
      <c r="N88" s="288" t="s">
        <v>1175</v>
      </c>
      <c r="O88" s="237"/>
      <c r="P88" s="237"/>
      <c r="Q88" s="238"/>
      <c r="R88" s="238"/>
      <c r="S88" s="238"/>
      <c r="T88" s="238"/>
      <c r="U88" s="238"/>
      <c r="V88" s="238"/>
      <c r="W88" s="238"/>
      <c r="X88" s="239"/>
      <c r="Y88" s="289" t="s">
        <v>1176</v>
      </c>
      <c r="Z88" s="240"/>
      <c r="AA88" s="241"/>
      <c r="AB88" s="881">
        <f>B38</f>
        <v>8.5461407966256573</v>
      </c>
      <c r="AC88" s="846">
        <f>IFERROR(((BD85/BD75)^(1/10)-1)*100,"")</f>
        <v>13.981627065742263</v>
      </c>
      <c r="AD88" s="846">
        <f>F38</f>
        <v>23.946712888355172</v>
      </c>
      <c r="AE88" s="846">
        <f>H38</f>
        <v>27.457661861674154</v>
      </c>
      <c r="AF88" s="846">
        <f>L38</f>
        <v>26.917040417405168</v>
      </c>
      <c r="AG88" s="846">
        <f>R38</f>
        <v>27.164309686453734</v>
      </c>
      <c r="AH88" s="846">
        <f>T38</f>
        <v>26.353314935113904</v>
      </c>
      <c r="AI88" s="846" t="str">
        <f ca="1">IFERROR(((AI65/AI55)^(1/10)-1)*100,"")</f>
        <v/>
      </c>
      <c r="AJ88" s="845">
        <f>IFERROR(((Q85/Q75)^(1/10)-1)*100,"")</f>
        <v>28.399930266559714</v>
      </c>
      <c r="AK88" s="881">
        <f>IFERROR(((AS65/AS55)^(1/10)-1)*100,"")</f>
        <v>-2.2821468016730684</v>
      </c>
      <c r="AL88" s="105" t="s">
        <v>790</v>
      </c>
      <c r="AM88" s="120"/>
      <c r="AN88" s="122"/>
      <c r="AO88" s="122"/>
      <c r="AP88" s="971"/>
      <c r="AQ88" s="64" t="s">
        <v>1177</v>
      </c>
      <c r="AR88" s="68" t="s">
        <v>585</v>
      </c>
      <c r="AS88" s="137" t="s">
        <v>1178</v>
      </c>
      <c r="AT88" s="27"/>
      <c r="AU88" s="334"/>
      <c r="AV88" s="335"/>
      <c r="AW88" s="335"/>
      <c r="AX88" s="335"/>
      <c r="AY88" s="492"/>
      <c r="AZ88" s="46"/>
      <c r="BC88" s="334"/>
      <c r="BD88" s="337"/>
      <c r="BE88" s="334"/>
      <c r="BF88" s="337"/>
      <c r="BG88" s="334"/>
      <c r="BH88" s="441"/>
      <c r="BI88" s="334"/>
      <c r="BJ88" s="337"/>
      <c r="BK88" s="334" t="s">
        <v>1179</v>
      </c>
      <c r="BL88" s="337"/>
      <c r="BM88" s="334" t="s">
        <v>463</v>
      </c>
      <c r="BN88" s="337"/>
      <c r="BR88" t="s">
        <v>463</v>
      </c>
      <c r="DX88" t="s">
        <v>1180</v>
      </c>
      <c r="DY88" s="2" t="s">
        <v>1181</v>
      </c>
      <c r="DZ88" s="695">
        <v>0.05</v>
      </c>
    </row>
    <row r="89" spans="1:130" ht="16" customHeight="1">
      <c r="A89" s="203" t="s">
        <v>1182</v>
      </c>
      <c r="B89" s="972" t="e">
        <f ca="1">MAX(CX1,CX2)</f>
        <v>#NAME?</v>
      </c>
      <c r="C89" s="62" t="s">
        <v>1183</v>
      </c>
      <c r="E89" s="723" t="e">
        <f ca="1">B44/100</f>
        <v>#VALUE!</v>
      </c>
      <c r="F89" s="2" t="s">
        <v>769</v>
      </c>
      <c r="G89" s="2" t="s">
        <v>769</v>
      </c>
      <c r="H89" s="2" t="s">
        <v>769</v>
      </c>
      <c r="I89" s="159" t="s">
        <v>1184</v>
      </c>
      <c r="J89" s="1075" t="e">
        <f ca="1">IF(LEFT(BM89,1)="#","",BM89)</f>
        <v>#NAME?</v>
      </c>
      <c r="K89" s="1049"/>
      <c r="L89" s="281" t="s">
        <v>1185</v>
      </c>
      <c r="M89" s="225" t="e">
        <f t="array" aca="1" ref="M89" ca="1">_xll.BDP(BD1,"UD_CONF_1YR_MODEL")*1</f>
        <v>#NAME?</v>
      </c>
      <c r="N89" s="168" t="s">
        <v>515</v>
      </c>
      <c r="O89" s="1081" t="e">
        <f ca="1">IF(OR(ISNUMBER(AH30),ISNUMBER(AH31)),IF(OR(AH31&gt;50,AH30&gt;50),"HIGH PE",""),"")</f>
        <v>#NAME?</v>
      </c>
      <c r="P89" s="1049"/>
      <c r="Q89" s="159" t="s">
        <v>1186</v>
      </c>
      <c r="R89" s="226"/>
      <c r="S89" s="232" t="str">
        <f ca="1">IF(AE2="-","",IFERROR(IF(AE2&lt;=3,"VHL",IF(AE2&lt;=10,"HL",IF(AE2&lt;=20,"ML",IF(AE2&lt;=30,"LL","VLL")))),"N/A"))</f>
        <v/>
      </c>
      <c r="T89" s="236"/>
      <c r="U89" s="159" t="s">
        <v>1187</v>
      </c>
      <c r="V89" s="747"/>
      <c r="W89" s="1090">
        <f>CC65</f>
        <v>0.49299999999999999</v>
      </c>
      <c r="X89" s="1049"/>
      <c r="Y89" s="87" t="s">
        <v>1188</v>
      </c>
      <c r="Z89" s="85"/>
      <c r="AA89" s="845" t="e">
        <f t="array" aca="1" ref="AA89" ca="1">_xll.BDP(BD1,"bs amt of tsy stock","eqy fund crncy",BJ4,"scaling format",$BI$8)</f>
        <v>#NAME?</v>
      </c>
      <c r="AB89" s="887">
        <f>B39</f>
        <v>1.9625771083821686</v>
      </c>
      <c r="AC89" s="775">
        <f>IFERROR(((BD85/BD80)^(1/5)-1)*100,"")</f>
        <v>4.7153820434882476</v>
      </c>
      <c r="AD89" s="775">
        <f>F39</f>
        <v>4.9578972352042339</v>
      </c>
      <c r="AE89" s="775">
        <f>H39</f>
        <v>4.3189189594563526</v>
      </c>
      <c r="AF89" s="775">
        <f>L39</f>
        <v>6.0346351479320326</v>
      </c>
      <c r="AG89" s="775">
        <f>R39</f>
        <v>5.3815877309655313</v>
      </c>
      <c r="AH89" s="775">
        <f>T39</f>
        <v>5.8276412125133126</v>
      </c>
      <c r="AI89" s="775" t="str">
        <f ca="1">IFERROR(((AI65/AI60)^(1/5)-1)*100,"")</f>
        <v/>
      </c>
      <c r="AJ89" s="813">
        <f>IFERROR(((Q85/Q80)^(1/5)-1)*100,"")</f>
        <v>6.7370523648064395</v>
      </c>
      <c r="AK89" s="973">
        <f>IFERROR(((AS65/AS60)^(1/5)-1)*100,"")</f>
        <v>-0.51980503765222119</v>
      </c>
      <c r="AL89" s="110" t="s">
        <v>799</v>
      </c>
      <c r="AM89" s="125" t="s">
        <v>439</v>
      </c>
      <c r="AN89" s="126" t="s">
        <v>589</v>
      </c>
      <c r="AO89" s="974" t="s">
        <v>1189</v>
      </c>
      <c r="AP89" s="242" t="s">
        <v>1190</v>
      </c>
      <c r="AQ89" s="69" t="s">
        <v>910</v>
      </c>
      <c r="AR89" s="71" t="s">
        <v>503</v>
      </c>
      <c r="AS89" s="138" t="s">
        <v>770</v>
      </c>
      <c r="AU89" s="377"/>
      <c r="AV89" s="753"/>
      <c r="AW89" s="753"/>
      <c r="AX89" s="753"/>
      <c r="AY89" s="493"/>
      <c r="AZ89" s="46"/>
      <c r="BC89" s="437" t="s">
        <v>1191</v>
      </c>
      <c r="BD89" s="438"/>
      <c r="BE89" s="437" t="s">
        <v>1170</v>
      </c>
      <c r="BF89" s="438"/>
      <c r="BG89" s="437" t="s">
        <v>1192</v>
      </c>
      <c r="BH89" s="438"/>
      <c r="BI89" s="437" t="s">
        <v>1193</v>
      </c>
      <c r="BJ89" s="438"/>
      <c r="BK89" s="437" t="s">
        <v>1194</v>
      </c>
      <c r="BL89" s="438"/>
      <c r="BM89" s="338" t="e">
        <f t="array" aca="1" ref="BM89" ca="1">_xll.BDP(BD1,"UD_CATEGORY")</f>
        <v>#NAME?</v>
      </c>
      <c r="BN89" s="765"/>
      <c r="BR89" t="s">
        <v>463</v>
      </c>
      <c r="DX89" t="s">
        <v>1195</v>
      </c>
      <c r="DY89" s="2" t="s">
        <v>1196</v>
      </c>
      <c r="DZ89" s="695">
        <v>0.15</v>
      </c>
    </row>
    <row r="90" spans="1:130" ht="16" customHeight="1">
      <c r="A90" s="159" t="s">
        <v>526</v>
      </c>
      <c r="B90" s="970" t="e">
        <f ca="1">$BO$9</f>
        <v>#VALUE!</v>
      </c>
      <c r="C90" s="62" t="s">
        <v>1197</v>
      </c>
      <c r="E90" s="724" t="e">
        <f ca="1">(H44-B44)/100</f>
        <v>#VALUE!</v>
      </c>
      <c r="F90" s="2" t="s">
        <v>769</v>
      </c>
      <c r="G90" s="2" t="s">
        <v>769</v>
      </c>
      <c r="H90" s="2" t="s">
        <v>769</v>
      </c>
      <c r="I90" s="62" t="s">
        <v>1198</v>
      </c>
      <c r="J90" s="1071" t="e">
        <f ca="1">IF(LEFT(BM90,1)="#","",BM90)</f>
        <v>#NAME?</v>
      </c>
      <c r="K90" s="1052"/>
      <c r="L90" s="279" t="s">
        <v>1199</v>
      </c>
      <c r="M90" s="309" t="e">
        <f t="array" aca="1" ref="M90" ca="1">_xll.BDP(BD1,"UD_CONF_1YR_MULTIPLE")*1</f>
        <v>#NAME?</v>
      </c>
      <c r="N90" s="141" t="s">
        <v>894</v>
      </c>
      <c r="O90" s="1084" t="str">
        <f ca="1">IF(OR(AP66&gt;100,AP65&gt;100),"HIGH DSOs","")</f>
        <v/>
      </c>
      <c r="P90" s="1052"/>
      <c r="Q90" s="141" t="s">
        <v>1200</v>
      </c>
      <c r="S90" s="1084" t="e">
        <f ca="1">IF(OR(AH2&lt;1000000,AH4&lt;1000000),"LOW LQDTY","")</f>
        <v>#NAME?</v>
      </c>
      <c r="T90" s="1052"/>
      <c r="U90" s="62" t="s">
        <v>1201</v>
      </c>
      <c r="W90" s="1080">
        <f>IFERROR(W89/BF65,"")</f>
        <v>7.1626577092280595E-4</v>
      </c>
      <c r="X90" s="1052"/>
      <c r="Y90" s="91" t="e">
        <f ca="1">"# of Shs"&amp;" in "&amp;BJ4</f>
        <v>#NAME?</v>
      </c>
      <c r="Z90" s="90"/>
      <c r="AA90" s="975" t="e">
        <f t="array" aca="1" ref="AA90" ca="1">_xll.BDP(BD1,"bs num of tsy sh","eqy fund crncy",BJ4)</f>
        <v>#NAME?</v>
      </c>
      <c r="AB90" s="887">
        <f>B40</f>
        <v>10.108516233145902</v>
      </c>
      <c r="AC90" s="775">
        <f>IFERROR(((BD85/BD82)^(1/3)-1)*100,"")</f>
        <v>13.272182995635195</v>
      </c>
      <c r="AD90" s="775">
        <f>F40</f>
        <v>12.257315718536233</v>
      </c>
      <c r="AE90" s="775">
        <f>H40</f>
        <v>12.50300821427075</v>
      </c>
      <c r="AF90" s="775">
        <f>L40</f>
        <v>14.732300557716748</v>
      </c>
      <c r="AG90" s="775">
        <f>R40</f>
        <v>10.213260623317488</v>
      </c>
      <c r="AH90" s="775">
        <f>T40</f>
        <v>10.119136522528095</v>
      </c>
      <c r="AI90" s="775" t="str">
        <f ca="1">IFERROR(((AI65/AI62)^(1/3)-1)*100,"")</f>
        <v/>
      </c>
      <c r="AJ90" s="813">
        <f>IFERROR(((Q85/Q82)^(1/3)-1)*100,"")</f>
        <v>12.621302349341912</v>
      </c>
      <c r="AK90" s="973">
        <f>IFERROR(((AS65/AS62)^(1/3)-1)*100,"")</f>
        <v>-3.6450763470783909</v>
      </c>
      <c r="AL90" s="110" t="s">
        <v>802</v>
      </c>
      <c r="AM90" s="976">
        <f>A26</f>
        <v>43830</v>
      </c>
      <c r="AN90" s="814">
        <f>BC26</f>
        <v>72.796700000000001</v>
      </c>
      <c r="AO90" s="814">
        <f>DI61</f>
        <v>83.149799999999999</v>
      </c>
      <c r="AP90" s="784">
        <f t="shared" ref="AP90:AP99" si="201">AO90-AN90</f>
        <v>10.353099999999998</v>
      </c>
      <c r="AQ90" s="977">
        <f>CO61</f>
        <v>1.484</v>
      </c>
      <c r="AR90" s="978" t="str">
        <f ca="1">IFERROR(BS26/BD81,"")</f>
        <v/>
      </c>
      <c r="AS90" s="979" t="str">
        <f ca="1">IFERROR(AA26/Q61*100,"")</f>
        <v/>
      </c>
      <c r="AU90" s="450" t="s">
        <v>499</v>
      </c>
      <c r="AV90" s="47" t="str">
        <f t="array" aca="1" ref="AV90" ca="1">IFERROR(_xll.BDP($BD$1,"UD_QUALITY_RATING")*1,"")</f>
        <v/>
      </c>
      <c r="AX90" s="775"/>
      <c r="AY90" s="451"/>
      <c r="AZ90" s="46"/>
      <c r="BC90" s="364" t="s">
        <v>515</v>
      </c>
      <c r="BD90" s="826" t="e">
        <f ca="1">IF(I95=BC90,AJ36,IF(BC91=I95,AQ36,IF(I95=BC92,AR36,IF(I95=BC93,#REF!,IF(BC94=I95,AO36,IF(BC95=I95,AL36,""))))))</f>
        <v>#NAME?</v>
      </c>
      <c r="BE90" s="364" t="s">
        <v>1202</v>
      </c>
      <c r="BF90" s="868" t="e">
        <f t="array" aca="1" ref="BF90" ca="1">_xll.BDP($BD$1,"ud gp est upside multiple","eqy fund per=A","eqy fund year",RIGHT($BB$36,4))</f>
        <v>#NAME?</v>
      </c>
      <c r="BG90" s="364" t="s">
        <v>1203</v>
      </c>
      <c r="BH90" s="868" t="e">
        <f t="array" aca="1" ref="BH90" ca="1">_xll.BDP($BD$1,"ud gp est downside multiple","eqy fund per=A","eqy fund year",RIGHT($BB$36,4))</f>
        <v>#NAME?</v>
      </c>
      <c r="BI90" s="364" t="s">
        <v>1194</v>
      </c>
      <c r="BJ90" s="387" t="e">
        <f t="array" aca="1" ref="BJ90" ca="1">_xll.BDP($BD$1,"ud base case probability")</f>
        <v>#NAME?</v>
      </c>
      <c r="BK90" s="338" t="s">
        <v>1204</v>
      </c>
      <c r="BL90" s="725" t="e">
        <f ca="1">(AE32/AY30)*(1-$BD$96)*(1+($E$93/100)+($E$95/100))^(1/2)</f>
        <v>#NAME?</v>
      </c>
      <c r="BM90" s="338" t="e">
        <f t="array" aca="1" ref="BM90" ca="1">_xll.BDP(BD1,"UD_SUBCATEGORY")</f>
        <v>#NAME?</v>
      </c>
      <c r="BN90" s="765"/>
      <c r="DX90" t="s">
        <v>1205</v>
      </c>
      <c r="DY90" s="2" t="s">
        <v>1206</v>
      </c>
      <c r="DZ90" s="695">
        <v>0.1</v>
      </c>
    </row>
    <row r="91" spans="1:130" ht="16" customHeight="1">
      <c r="A91" s="160" t="s">
        <v>527</v>
      </c>
      <c r="B91" s="972" t="e">
        <f ca="1">BS9</f>
        <v>#NAME?</v>
      </c>
      <c r="C91" s="62" t="s">
        <v>1207</v>
      </c>
      <c r="E91" s="724" t="e">
        <f ca="1">(X44-H44)/100</f>
        <v>#VALUE!</v>
      </c>
      <c r="F91" s="2" t="s">
        <v>769</v>
      </c>
      <c r="G91" s="2" t="s">
        <v>769</v>
      </c>
      <c r="H91" s="2" t="s">
        <v>769</v>
      </c>
      <c r="I91" s="62" t="s">
        <v>446</v>
      </c>
      <c r="J91" s="1071" t="e">
        <f ca="1">IF(LEFT(BM91,1)="#","",BM91)</f>
        <v>#NAME?</v>
      </c>
      <c r="K91" s="1052"/>
      <c r="L91" s="279" t="s">
        <v>1208</v>
      </c>
      <c r="M91" s="309" t="e">
        <f t="array" aca="1" ref="M91" ca="1">_xll.BDP(BD1,"UD_CONF_1YR_MODEL")*1</f>
        <v>#NAME?</v>
      </c>
      <c r="N91" s="141" t="s">
        <v>645</v>
      </c>
      <c r="O91" s="1084" t="e">
        <f ca="1">IF(O2="Banks","",IF(AND(ISNUMBER(AJ66),AJ66&gt;=2),"HIGH DEBT",IF(AND(ISNUMBER(AJ66),AJ66&lt;2),"",IF(AND(ISNUMBER(AJ65),AJ65&gt;2),"HIGH DEBT",""))))</f>
        <v>#NAME?</v>
      </c>
      <c r="P91" s="1052"/>
      <c r="Q91" s="141" t="s">
        <v>1209</v>
      </c>
      <c r="S91" s="1094" t="e">
        <f t="array" aca="1" ref="S91" ca="1">IF(LEFT(_xll.BDP(BD1,"is over underfund pension exp","scaling format",$BI$8),1)="#","",_xll.BDP(BD1,"is over underfund pension exp","scaling format",$BI$8))</f>
        <v>#NAME?</v>
      </c>
      <c r="T91" s="1052"/>
      <c r="U91" s="62" t="s">
        <v>1210</v>
      </c>
      <c r="W91" s="1080">
        <f>CG65</f>
        <v>11.468999999999999</v>
      </c>
      <c r="X91" s="1052"/>
      <c r="Y91" s="84" t="s">
        <v>1211</v>
      </c>
      <c r="Z91" s="83"/>
      <c r="AA91" s="980" t="e">
        <f t="array" aca="1" ref="AA91" ca="1">_xll.BDP(BD1,"ardr dta nol carryforward","eqy fund crncy",BJ4,"scaling format",$BI$8)</f>
        <v>#NAME?</v>
      </c>
      <c r="AB91" s="896">
        <f>B41</f>
        <v>-19.921700997413094</v>
      </c>
      <c r="AC91" s="837">
        <f>IFERROR((BD85/BD84-1)*100,"")</f>
        <v>-15.185985153687987</v>
      </c>
      <c r="AD91" s="837">
        <f>F41</f>
        <v>-24.592252481804312</v>
      </c>
      <c r="AE91" s="837">
        <f>H41</f>
        <v>-27.446313699356718</v>
      </c>
      <c r="AF91" s="837">
        <f>L41</f>
        <v>-24.611056662673793</v>
      </c>
      <c r="AG91" s="837">
        <f>R41</f>
        <v>-26.413377270441764</v>
      </c>
      <c r="AH91" s="837">
        <f>T41</f>
        <v>-23.103448275862071</v>
      </c>
      <c r="AI91" s="837" t="str">
        <f ca="1">IFERROR((AI65/AI64-1)*100,"")</f>
        <v/>
      </c>
      <c r="AJ91" s="898">
        <f>IFERROR((Q85/Q84-1)*100,"")</f>
        <v>-19.777864114728182</v>
      </c>
      <c r="AK91" s="981">
        <f>IFERROR((AS65/AS64-1)*100,"")</f>
        <v>0.28597785977859669</v>
      </c>
      <c r="AL91" s="112" t="s">
        <v>804</v>
      </c>
      <c r="AM91" s="976">
        <f>A27</f>
        <v>44196</v>
      </c>
      <c r="AN91" s="814">
        <f>BC27</f>
        <v>72.501400000000004</v>
      </c>
      <c r="AO91" s="814">
        <f>DI62</f>
        <v>83.773399999999995</v>
      </c>
      <c r="AP91" s="784">
        <f t="shared" si="201"/>
        <v>11.271999999999991</v>
      </c>
      <c r="AQ91" s="982">
        <f>CO62</f>
        <v>0.97899999999999998</v>
      </c>
      <c r="AR91" s="983" t="str">
        <f ca="1">IFERROR(BS27/BD82,"")</f>
        <v/>
      </c>
      <c r="AS91" s="984" t="str">
        <f ca="1">IFERROR(AA27/Q62*100,"")</f>
        <v/>
      </c>
      <c r="AU91" s="450" t="s">
        <v>500</v>
      </c>
      <c r="AV91" s="47" t="str">
        <f t="array" aca="1" ref="AV91" ca="1">IFERROR(ROUND(_xll.BDP($BD$1,"ud value score")*1,1),"")</f>
        <v/>
      </c>
      <c r="AW91" s="46" t="s">
        <v>1212</v>
      </c>
      <c r="AX91" s="775" t="str">
        <f ca="1">IFERROR(ROUND(IF(ISNUMBER(E96),IF((E96)&gt;=0.178,12,IF((E96)&lt;=-0.018,-2,IFERROR(((E96*100)-1)/1.4,""))),""),1),"")</f>
        <v/>
      </c>
      <c r="AY91" s="451"/>
      <c r="AZ91" s="46"/>
      <c r="BC91" s="338" t="s">
        <v>637</v>
      </c>
      <c r="BD91" s="833"/>
      <c r="BE91" s="338" t="s">
        <v>1213</v>
      </c>
      <c r="BF91" s="376" t="e">
        <f t="array" aca="1" ref="BF91" ca="1">_xll.BDP($BD$1,"ud gp est upside price","eqy fund per=A","eqy fund year",RIGHT($BB$36,4))</f>
        <v>#NAME?</v>
      </c>
      <c r="BG91" s="338" t="s">
        <v>1214</v>
      </c>
      <c r="BH91" s="376" t="e">
        <f t="array" aca="1" ref="BH91" ca="1">_xll.BDP($BD$1,"ud gp est downside price","eqy fund per=A","eqy fund year",RIGHT($BB$36,4))</f>
        <v>#NAME?</v>
      </c>
      <c r="BI91" s="338" t="s">
        <v>1170</v>
      </c>
      <c r="BJ91" s="388" t="e">
        <f t="array" aca="1" ref="BJ91" ca="1">_xll.BDP($BD$1,"ud upside probability")</f>
        <v>#NAME?</v>
      </c>
      <c r="BK91" s="338" t="s">
        <v>1215</v>
      </c>
      <c r="BL91" s="725" t="e">
        <f ca="1">(AE33/AY32)*(1-$BD$96)*(1+($E$93/100)+($E$95/100))^(1/2)</f>
        <v>#NAME?</v>
      </c>
      <c r="BM91" s="338" t="e">
        <f t="array" aca="1" ref="BM91" ca="1">_xll.BDP(BD1,"UD_CV_CATEGORY")</f>
        <v>#NAME?</v>
      </c>
      <c r="BN91" s="765"/>
      <c r="DX91" t="s">
        <v>1216</v>
      </c>
      <c r="DY91" s="2" t="s">
        <v>454</v>
      </c>
      <c r="DZ91" s="695">
        <v>0</v>
      </c>
    </row>
    <row r="92" spans="1:130" ht="16" customHeight="1">
      <c r="A92" s="159" t="s">
        <v>1217</v>
      </c>
      <c r="B92" s="970" t="e">
        <f t="array" aca="1" ref="B92" ca="1">_xll.BDP($BD$1,"ud upload date")*1</f>
        <v>#NAME?</v>
      </c>
      <c r="C92" s="315" t="s">
        <v>1218</v>
      </c>
      <c r="E92" s="726" t="e">
        <f ca="1">E93-SUM(E89:E91)</f>
        <v>#NAME?</v>
      </c>
      <c r="F92" s="2" t="s">
        <v>769</v>
      </c>
      <c r="G92" s="2" t="s">
        <v>769</v>
      </c>
      <c r="H92" s="2" t="s">
        <v>769</v>
      </c>
      <c r="I92" s="62" t="s">
        <v>1219</v>
      </c>
      <c r="J92" s="1071" t="e">
        <f ca="1">IF(LEFT(BM92,1)="#","",BM92)</f>
        <v>#NAME?</v>
      </c>
      <c r="K92" s="1052"/>
      <c r="L92" s="279" t="s">
        <v>1220</v>
      </c>
      <c r="M92" s="309" t="e">
        <f t="array" aca="1" ref="M92" ca="1">_xll.BDP(BD1,"UD_CONF_1YR_MULTIPLE")*1</f>
        <v>#NAME?</v>
      </c>
      <c r="N92" s="141" t="s">
        <v>1221</v>
      </c>
      <c r="O92" s="1092" t="str">
        <f>IF(ISNUMBER(M85),IF(M85&gt;50,"HIGH DT/TX",""),"")</f>
        <v/>
      </c>
      <c r="P92" s="1052"/>
      <c r="Q92" s="235" t="s">
        <v>1222</v>
      </c>
      <c r="S92" s="1093" t="e">
        <f t="array" aca="1" ref="S92" ca="1">IF(LEFT(_xll.BDP(BD1,"pension funding ratio"),1)="#","",_xll.BDP(BD1,"pension funding ratio"))</f>
        <v>#NAME?</v>
      </c>
      <c r="T92" s="1052"/>
      <c r="U92" s="62" t="s">
        <v>1223</v>
      </c>
      <c r="W92" s="1091">
        <f>IFERROR(W91/BH65,"")</f>
        <v>8.3573193036660276E-2</v>
      </c>
      <c r="X92" s="1052"/>
      <c r="Y92" s="159" t="s">
        <v>1224</v>
      </c>
      <c r="Z92" s="747"/>
      <c r="AA92" s="845" t="e">
        <f t="array" aca="1" ref="AA92" ca="1">_xll.BDP($BD$1,"bs total capital leases")*1</f>
        <v>#NAME?</v>
      </c>
      <c r="AB92" s="117" t="s">
        <v>886</v>
      </c>
      <c r="AC92" s="748"/>
      <c r="AD92" s="226" t="s">
        <v>1225</v>
      </c>
      <c r="AE92" s="789" t="e">
        <f t="array" aca="1" ref="AE92" ca="1">_xll.BDP(BD1,"eqy beta")*1</f>
        <v>#NAME?</v>
      </c>
      <c r="AF92" s="682" t="s">
        <v>1226</v>
      </c>
      <c r="AG92" s="244" t="s">
        <v>1227</v>
      </c>
      <c r="AH92" s="244" t="s">
        <v>1228</v>
      </c>
      <c r="AI92" s="244" t="s">
        <v>1229</v>
      </c>
      <c r="AJ92" s="244" t="s">
        <v>1230</v>
      </c>
      <c r="AK92" s="244" t="s">
        <v>1231</v>
      </c>
      <c r="AL92" s="683" t="s">
        <v>1232</v>
      </c>
      <c r="AM92" s="976">
        <f>A28</f>
        <v>44561</v>
      </c>
      <c r="AN92" s="814">
        <f>BC28</f>
        <v>76.309700000000007</v>
      </c>
      <c r="AO92" s="814">
        <f>DI63</f>
        <v>85.3583</v>
      </c>
      <c r="AP92" s="784">
        <f t="shared" si="201"/>
        <v>9.0485999999999933</v>
      </c>
      <c r="AQ92" s="982">
        <f>CO63</f>
        <v>0.80100000000000005</v>
      </c>
      <c r="AR92" s="983" t="str">
        <f ca="1">IFERROR(BS28/BD83,"")</f>
        <v/>
      </c>
      <c r="AS92" s="984" t="str">
        <f ca="1">IFERROR(AA28/Q63*100,"")</f>
        <v/>
      </c>
      <c r="AU92" s="450" t="s">
        <v>501</v>
      </c>
      <c r="AV92" s="47" t="str">
        <f t="array" aca="1" ref="AV92" ca="1">IFERROR(ROUND(_xll.BDP($BD$1,"ud momentum score")*1,1),"")</f>
        <v/>
      </c>
      <c r="AW92" s="46" t="s">
        <v>1233</v>
      </c>
      <c r="AX92" s="775" t="str">
        <f ca="1">IFERROR(ROUND(IF(ISNUMBER(V11),IF(V11&gt;3,-2,IF(V11&lt;0,"",-0.0769*(V11)^5-0.1137*(V11)^4+3.5354*(V11)^3-9.3247*(V11)^2+1.345*(V11)+11.897)),""),1),"")</f>
        <v/>
      </c>
      <c r="AY92" s="451"/>
      <c r="AZ92" s="46"/>
      <c r="BC92" s="338" t="s">
        <v>638</v>
      </c>
      <c r="BD92" s="833"/>
      <c r="BE92" s="439" t="s">
        <v>1204</v>
      </c>
      <c r="BF92" s="721" t="e">
        <f t="array" aca="1" ref="BF92" ca="1">_xll.BDP($BD$1,"ud gp est upside yield","eqy fund per=A","eqy fund year",RIGHT($BB$32,4))</f>
        <v>#NAME?</v>
      </c>
      <c r="BG92" s="439" t="s">
        <v>1204</v>
      </c>
      <c r="BH92" s="721" t="e">
        <f t="array" aca="1" ref="BH92" ca="1">_xll.BDP($BD$1,"ud gp est downside yield","eqy fund per=A","eqy fund year",RIGHT($BB$32,4))</f>
        <v>#NAME?</v>
      </c>
      <c r="BI92" s="377" t="s">
        <v>1192</v>
      </c>
      <c r="BJ92" s="442" t="e">
        <f t="array" aca="1" ref="BJ92" ca="1">_xll.BDP($BD$1,"ud downside probability")</f>
        <v>#NAME?</v>
      </c>
      <c r="BK92" s="338" t="s">
        <v>1234</v>
      </c>
      <c r="BL92" s="725" t="e">
        <f ca="1">(AE34/AY33)*(1-$BD$96)*(1+($E$93/100)+($E$95/100))^(1/2)</f>
        <v>#NAME?</v>
      </c>
      <c r="BM92" s="338" t="e">
        <f t="array" aca="1" ref="BM92" ca="1">_xll.BDP(BD1,"UD_SHORT_CATEGORY")</f>
        <v>#NAME?</v>
      </c>
      <c r="BN92" s="765"/>
      <c r="BO92" s="727"/>
    </row>
    <row r="93" spans="1:130" ht="16" customHeight="1" thickBot="1">
      <c r="A93" s="160" t="s">
        <v>1235</v>
      </c>
      <c r="B93" s="207" t="str">
        <f ca="1">IFERROR(IF(B92&gt;=BO9,"OK","Update"),"")</f>
        <v/>
      </c>
      <c r="C93" s="62" t="s">
        <v>1236</v>
      </c>
      <c r="D93" s="61"/>
      <c r="E93" s="724" t="e">
        <f ca="1">(AY36/AY31)^(1/CN69)-1</f>
        <v>#NAME?</v>
      </c>
      <c r="F93" s="724" t="str">
        <f ca="1">IF(J95=0,"",(BF91/AY31)^(1/CN69)-1)</f>
        <v/>
      </c>
      <c r="G93" s="724" t="str">
        <f ca="1">IF(J95=0,"",(BH91/AY31)^(1/CN69)-1)</f>
        <v/>
      </c>
      <c r="H93" s="728" t="str">
        <f ca="1">IF(J95=0,"",(E93*BJ90)+(F93*BJ91)+(G93*BJ92))</f>
        <v/>
      </c>
      <c r="I93" s="160"/>
      <c r="J93" s="227"/>
      <c r="K93" s="754"/>
      <c r="L93" s="208"/>
      <c r="M93" s="207"/>
      <c r="N93" s="142" t="s">
        <v>1237</v>
      </c>
      <c r="O93" s="1078" t="e">
        <f t="array" aca="1" ref="O93" ca="1">IF(_xll.BDP($BD$1,"has convertibles")="Y","YES","")</f>
        <v>#NAME?</v>
      </c>
      <c r="P93" s="1055"/>
      <c r="Q93" s="142" t="s">
        <v>1238</v>
      </c>
      <c r="R93" s="753"/>
      <c r="S93" s="1089" t="e">
        <f t="array" aca="1" ref="S93" ca="1">IF(RIGHT(_xll.BDP($BD$1,"name chinese simplified"),2)="KY","YES","")</f>
        <v>#NAME?</v>
      </c>
      <c r="T93" s="1055"/>
      <c r="U93" s="142" t="s">
        <v>1239</v>
      </c>
      <c r="V93" s="1095" t="e">
        <f t="array" aca="1" ref="V93" ca="1">_xll.BDP(BD1,"current auditor")</f>
        <v>#NAME?</v>
      </c>
      <c r="W93" s="1054"/>
      <c r="X93" s="1055"/>
      <c r="Y93" s="160" t="s">
        <v>1240</v>
      </c>
      <c r="Z93" s="753"/>
      <c r="AA93" s="975" t="e">
        <f t="array" aca="1" ref="AA93" ca="1">_xll.BDP($BD$1,"bs future min oper lease oblig")*1</f>
        <v>#NAME?</v>
      </c>
      <c r="AB93" s="112" t="s">
        <v>551</v>
      </c>
      <c r="AC93" s="799" t="e">
        <f t="array" aca="1" ref="AC93" ca="1">_xll.BDP(BD1,"bs pfd eqty &amp; hybrid cptl","eqy fund crncy",BJ4,"scaling format",$BI$8)</f>
        <v>#NAME?</v>
      </c>
      <c r="AD93" s="287" t="s">
        <v>1241</v>
      </c>
      <c r="AE93" s="898" t="e">
        <f t="array" aca="1" ref="AE93" ca="1">_xll.BDP($BD$1,"interval rsi","CALC_INTERVAL=90D")</f>
        <v>#NAME?</v>
      </c>
      <c r="AF93" s="985" t="e">
        <f t="array" aca="1" ref="AF93" ca="1">_xll.BDP($BD$1,"wacc")</f>
        <v>#NAME?</v>
      </c>
      <c r="AG93" s="986" t="e">
        <f t="array" aca="1" ref="AG93" ca="1">_xll.BDP($BD$1,"wacc cost debt")</f>
        <v>#NAME?</v>
      </c>
      <c r="AH93" s="986" t="e">
        <f t="array" aca="1" ref="AH93" ca="1">_xll.BDP($BD$1,"wacc cost pfd")</f>
        <v>#NAME?</v>
      </c>
      <c r="AI93" s="986" t="e">
        <f t="array" aca="1" ref="AI93" ca="1">_xll.BDP($BD$1,"wacc cost equity")</f>
        <v>#NAME?</v>
      </c>
      <c r="AJ93" s="986" t="e">
        <f t="array" aca="1" ref="AJ93" ca="1">_xll.BDP($BD$1,"wacc weight of debt")</f>
        <v>#NAME?</v>
      </c>
      <c r="AK93" s="986" t="e">
        <f t="array" aca="1" ref="AK93" ca="1">_xll.BDP($BD$1,"wacc weight of preferred equity")</f>
        <v>#NAME?</v>
      </c>
      <c r="AL93" s="802" t="e">
        <f t="array" aca="1" ref="AL93" ca="1">_xll.BDP($BD$1,"wacc weight of equity")</f>
        <v>#NAME?</v>
      </c>
      <c r="AM93" s="976">
        <f>A29</f>
        <v>44926</v>
      </c>
      <c r="AN93" s="814">
        <f>BC29</f>
        <v>79.311400000000006</v>
      </c>
      <c r="AO93" s="814">
        <f>DI64</f>
        <v>85.526200000000003</v>
      </c>
      <c r="AP93" s="784">
        <f t="shared" si="201"/>
        <v>6.2147999999999968</v>
      </c>
      <c r="AQ93" s="982">
        <f>CO64</f>
        <v>0.374</v>
      </c>
      <c r="AR93" s="983" t="str">
        <f ca="1">IFERROR(BS29/BD84,"")</f>
        <v/>
      </c>
      <c r="AS93" s="984" t="str">
        <f ca="1">IFERROR(AA29/Q64*100,"")</f>
        <v/>
      </c>
      <c r="AU93" s="440"/>
      <c r="AV93" s="452"/>
      <c r="AW93" s="452"/>
      <c r="AX93" s="452"/>
      <c r="AY93" s="453"/>
      <c r="AZ93" s="46"/>
      <c r="BC93" s="338" t="s">
        <v>888</v>
      </c>
      <c r="BD93" s="833"/>
      <c r="BE93" s="439" t="s">
        <v>1215</v>
      </c>
      <c r="BF93" s="721" t="e">
        <f t="array" aca="1" ref="BF93" ca="1">_xll.BDP($BD$1,"ud gp est upside yield","eqy fund per=A","eqy fund year",RIGHT($BB$33,4))</f>
        <v>#NAME?</v>
      </c>
      <c r="BG93" s="439" t="s">
        <v>1215</v>
      </c>
      <c r="BH93" s="721" t="e">
        <f t="array" aca="1" ref="BH93" ca="1">_xll.BDP($BD$1,"ud gp est downside yield","eqy fund per=A","eqy fund year",RIGHT($BB$33,4))</f>
        <v>#NAME?</v>
      </c>
      <c r="BI93" s="364" t="s">
        <v>1242</v>
      </c>
      <c r="BJ93" s="178"/>
      <c r="BK93" s="338" t="s">
        <v>1243</v>
      </c>
      <c r="BL93" s="725" t="e">
        <f ca="1">(AE35/AY34)*(1-$BD$96)*(1+($E$93/100)+($E$95/100))^(1/2)</f>
        <v>#NAME?</v>
      </c>
      <c r="BM93" s="338"/>
      <c r="BN93" s="765"/>
      <c r="BO93" s="727"/>
    </row>
    <row r="94" spans="1:130" ht="16" customHeight="1" thickBot="1">
      <c r="A94" s="159" t="s">
        <v>1244</v>
      </c>
      <c r="B94" s="970" t="e">
        <f t="array" aca="1" ref="B94" ca="1">_xll.BDP($BD$1,"ud date validated")*1</f>
        <v>#NAME?</v>
      </c>
      <c r="C94" s="62" t="s">
        <v>1245</v>
      </c>
      <c r="D94" s="61"/>
      <c r="E94" s="724" t="str">
        <f ca="1">IF(ISNUMBER(E93),IFERROR(AVERAGE(BL90:BL94),0),"")</f>
        <v/>
      </c>
      <c r="F94" s="724" t="e">
        <f ca="1">IF(J95=0,"",AVERAGE(BF92:BF96))*(1-BD96)</f>
        <v>#VALUE!</v>
      </c>
      <c r="G94" s="724" t="e">
        <f ca="1">IF(J95=0,"",AVERAGE(BH92:BH96))*(1-BD96)</f>
        <v>#VALUE!</v>
      </c>
      <c r="H94" s="728" t="str">
        <f ca="1">IF(J95=0,"",(E94*BJ90)+(F94*BJ91)+(G94*BJ92))</f>
        <v/>
      </c>
      <c r="I94" s="1097" t="s">
        <v>1246</v>
      </c>
      <c r="J94" s="1028"/>
      <c r="K94" s="987" t="str">
        <f ca="1">"Q  "&amp;AV90</f>
        <v xml:space="preserve">Q  </v>
      </c>
      <c r="L94" s="312" t="s">
        <v>863</v>
      </c>
      <c r="M94" s="519" t="e">
        <f ca="1">IF(LEFT(BM94,1)="#","",BM94)</f>
        <v>#NAME?</v>
      </c>
      <c r="N94" s="988" t="s">
        <v>500</v>
      </c>
      <c r="O94" s="217"/>
      <c r="P94" s="219" t="s">
        <v>1247</v>
      </c>
      <c r="Q94" s="219" t="s">
        <v>1248</v>
      </c>
      <c r="R94" s="219"/>
      <c r="S94" s="219"/>
      <c r="T94" s="219"/>
      <c r="U94" s="219"/>
      <c r="V94" s="220" t="s">
        <v>1249</v>
      </c>
      <c r="W94" s="288" t="s">
        <v>1250</v>
      </c>
      <c r="X94" s="285"/>
      <c r="Y94" s="288" t="s">
        <v>1251</v>
      </c>
      <c r="Z94" s="284"/>
      <c r="AA94" s="285"/>
      <c r="AB94" s="117" t="s">
        <v>1252</v>
      </c>
      <c r="AC94" s="748"/>
      <c r="AD94" s="86" t="s">
        <v>1253</v>
      </c>
      <c r="AE94" s="806" t="e">
        <f ca="1">DQ31</f>
        <v>#NAME?</v>
      </c>
      <c r="AF94" s="989"/>
      <c r="AG94" s="990" t="e">
        <f ca="1">B13</f>
        <v>#NAME?</v>
      </c>
      <c r="AH94" s="990" t="s">
        <v>588</v>
      </c>
      <c r="AI94" s="990" t="e">
        <f ca="1">AG94</f>
        <v>#NAME?</v>
      </c>
      <c r="AJ94" s="990" t="s">
        <v>588</v>
      </c>
      <c r="AK94" s="990" t="e">
        <f ca="1">AG94</f>
        <v>#NAME?</v>
      </c>
      <c r="AL94" s="971" t="s">
        <v>588</v>
      </c>
      <c r="AM94" s="991">
        <f>A30</f>
        <v>45291</v>
      </c>
      <c r="AN94" s="875">
        <f>BC30</f>
        <v>77.508700000000005</v>
      </c>
      <c r="AO94" s="875">
        <f>DI65</f>
        <v>82.800299999999993</v>
      </c>
      <c r="AP94" s="798">
        <f t="shared" si="201"/>
        <v>5.2915999999999883</v>
      </c>
      <c r="AQ94" s="992">
        <f>CO65</f>
        <v>0.40300000000000002</v>
      </c>
      <c r="AR94" s="993" t="str">
        <f ca="1">IFERROR(BS30/BD85,"")</f>
        <v/>
      </c>
      <c r="AS94" s="994" t="str">
        <f ca="1">IFERROR(AA30/Q65*100,"")</f>
        <v/>
      </c>
      <c r="AT94" s="953"/>
      <c r="AU94" s="46"/>
      <c r="AV94" s="46"/>
      <c r="AW94" s="46"/>
      <c r="AX94" s="46"/>
      <c r="AY94" s="46"/>
      <c r="AZ94" s="46"/>
      <c r="BC94" s="338" t="s">
        <v>1254</v>
      </c>
      <c r="BD94" s="833"/>
      <c r="BE94" s="439" t="s">
        <v>1234</v>
      </c>
      <c r="BF94" s="721" t="e">
        <f t="array" aca="1" ref="BF94" ca="1">_xll.BDP($BD$1,"ud gp est upside yield","eqy fund per=A","eqy fund year",RIGHT($BB$34,4))</f>
        <v>#NAME?</v>
      </c>
      <c r="BG94" s="439" t="s">
        <v>1234</v>
      </c>
      <c r="BH94" s="721" t="e">
        <f t="array" aca="1" ref="BH94" ca="1">_xll.BDP($BD$1,"ud gp est downside yield","eqy fund per=A","eqy fund year",RIGHT($BB$34,4))</f>
        <v>#NAME?</v>
      </c>
      <c r="BI94" s="338" t="s">
        <v>1255</v>
      </c>
      <c r="BJ94" s="443" t="e">
        <f t="array" aca="1" ref="BJ94" ca="1">_xll.BDP($BD$1,"ud mo val band")</f>
        <v>#NAME?</v>
      </c>
      <c r="BK94" s="338" t="s">
        <v>1256</v>
      </c>
      <c r="BL94" s="725" t="e">
        <f ca="1">(AE36/AY35)*(1-$BD$96)*(1+($E$93/100)+($E$95/100))^(1/2)</f>
        <v>#NAME?</v>
      </c>
      <c r="BM94" s="338" t="e">
        <f t="array" aca="1" ref="BM94" ca="1">_xll.BDP($BD$1,"ud baseline qvm rec")</f>
        <v>#NAME?</v>
      </c>
      <c r="BN94" s="765"/>
      <c r="BO94" s="727"/>
    </row>
    <row r="95" spans="1:130" ht="16" customHeight="1">
      <c r="A95" s="160" t="s">
        <v>1257</v>
      </c>
      <c r="B95" s="207" t="e">
        <f ca="1">IF(BS8="TRUE","INITIAL",IF(BT7=1,"Needs Q",IF(BT8=1,"Mid Q",IF(BS7=1,"OK","CHECK"))))</f>
        <v>#NAME?</v>
      </c>
      <c r="C95" s="260" t="s">
        <v>1258</v>
      </c>
      <c r="D95" s="61"/>
      <c r="E95" s="726" t="e">
        <f ca="1">-AA98/100</f>
        <v>#NAME?</v>
      </c>
      <c r="F95" s="726" t="str">
        <f ca="1">IF(J95=0,"",E95)</f>
        <v/>
      </c>
      <c r="G95" s="726" t="str">
        <f ca="1">F95</f>
        <v/>
      </c>
      <c r="H95" s="729" t="str">
        <f ca="1">G95</f>
        <v/>
      </c>
      <c r="I95" s="1085" t="e">
        <f t="array" aca="1" ref="I95" ca="1">_xll.BDP($BD$1,"ud primary valuation")</f>
        <v>#NAME?</v>
      </c>
      <c r="J95" s="1096">
        <f ca="1">IFERROR((BD90*BJ90)+(BF90*BJ91)+(BH90*BJ92),0)</f>
        <v>0</v>
      </c>
      <c r="K95" s="995" t="str">
        <f ca="1">"V  "&amp;AV91</f>
        <v xml:space="preserve">V  </v>
      </c>
      <c r="L95" s="313" t="s">
        <v>1259</v>
      </c>
      <c r="M95" s="520" t="e">
        <f ca="1">IF(LEFT(BM95,1)="#","",BM95)</f>
        <v>#NAME?</v>
      </c>
      <c r="N95" s="792" t="str">
        <f ca="1">"E(R) "&amp;AX91</f>
        <v xml:space="preserve">E(R) </v>
      </c>
      <c r="O95" s="216" t="s">
        <v>1260</v>
      </c>
      <c r="P95" s="218" t="s">
        <v>1261</v>
      </c>
      <c r="Q95" s="218" t="s">
        <v>1262</v>
      </c>
      <c r="R95" s="218" t="s">
        <v>1263</v>
      </c>
      <c r="S95" s="218" t="s">
        <v>1264</v>
      </c>
      <c r="T95" s="218" t="s">
        <v>1265</v>
      </c>
      <c r="U95" s="218" t="s">
        <v>1266</v>
      </c>
      <c r="V95" s="221" t="s">
        <v>1267</v>
      </c>
      <c r="W95" s="281" t="s">
        <v>1264</v>
      </c>
      <c r="X95" s="789" t="e">
        <f ca="1">IF(O1="Financials",#REF!,#REF!)</f>
        <v>#NAME?</v>
      </c>
      <c r="Y95" s="231" t="s">
        <v>1268</v>
      </c>
      <c r="Z95" s="232"/>
      <c r="AA95" s="789" t="e">
        <f t="array" aca="1" ref="AA95" ca="1">IF(LEFT(_xll.BDP($BD$1,"ud gprp currency"),1)="#","",_xll.BDP($BD$1,"ud gprp currency"))</f>
        <v>#NAME?</v>
      </c>
      <c r="AB95" s="112" t="s">
        <v>1269</v>
      </c>
      <c r="AC95" s="799" t="e">
        <f t="array" aca="1" ref="AC95" ca="1">_xll.BDP(BD1,"bs capital reserve","eqy fund crncy",BJ4,"scaling format",$BI$8)</f>
        <v>#NAME?</v>
      </c>
      <c r="AD95" s="227" t="s">
        <v>1270</v>
      </c>
      <c r="AE95" s="799" t="e">
        <f ca="1">DP31</f>
        <v>#NAME?</v>
      </c>
      <c r="AF95" s="996" t="s">
        <v>1083</v>
      </c>
      <c r="AG95" s="974" t="s">
        <v>540</v>
      </c>
      <c r="AH95" s="974" t="s">
        <v>540</v>
      </c>
      <c r="AI95" s="974" t="s">
        <v>602</v>
      </c>
      <c r="AJ95" s="974" t="s">
        <v>602</v>
      </c>
      <c r="AK95" s="974" t="s">
        <v>604</v>
      </c>
      <c r="AL95" s="997" t="s">
        <v>604</v>
      </c>
      <c r="AM95" s="681" t="str">
        <f>A32</f>
        <v>FY1</v>
      </c>
      <c r="AN95" s="814" t="e">
        <f ca="1">BC32</f>
        <v>#NAME?</v>
      </c>
      <c r="AO95" s="814" t="e">
        <f ca="1">S32</f>
        <v>#NAME?</v>
      </c>
      <c r="AP95" s="784" t="e">
        <f t="shared" ca="1" si="201"/>
        <v>#NAME?</v>
      </c>
      <c r="AQ95" s="43"/>
      <c r="AR95" s="748"/>
      <c r="AS95" s="979" t="str">
        <f ca="1">IFERROR(AA32/BF32*100,"")</f>
        <v/>
      </c>
      <c r="AU95" s="487"/>
      <c r="AV95" s="345"/>
      <c r="AW95" s="345"/>
      <c r="AX95" s="345"/>
      <c r="AY95" s="494"/>
      <c r="AZ95" s="46"/>
      <c r="BC95" s="377" t="s">
        <v>1271</v>
      </c>
      <c r="BD95" s="840"/>
      <c r="BE95" s="439" t="s">
        <v>1243</v>
      </c>
      <c r="BF95" s="721" t="e">
        <f t="array" aca="1" ref="BF95" ca="1">_xll.BDP($BD$1,"ud gp est upside yield","eqy fund per=A","eqy fund year",RIGHT($BB$35,4))</f>
        <v>#NAME?</v>
      </c>
      <c r="BG95" s="439" t="s">
        <v>1243</v>
      </c>
      <c r="BH95" s="721" t="e">
        <f t="array" aca="1" ref="BH95" ca="1">_xll.BDP($BD$1,"ud gp est downside yield","eqy fund per=A","eqy fund year",RIGHT($BB$35,4))</f>
        <v>#NAME?</v>
      </c>
      <c r="BI95" s="338" t="s">
        <v>1272</v>
      </c>
      <c r="BJ95" s="443" t="e">
        <f t="array" aca="1" ref="BJ95" ca="1">_xll.BDP($BD$1,"ud buy sell band")</f>
        <v>#NAME?</v>
      </c>
      <c r="BK95" s="338"/>
      <c r="BL95" s="765"/>
      <c r="BM95" s="338" t="e">
        <f t="array" aca="1" ref="BM95" ca="1">_xll.BDP($BD$1,"ud q adj qvm rec")</f>
        <v>#NAME?</v>
      </c>
      <c r="BN95" s="765"/>
      <c r="BT95" s="695"/>
      <c r="BU95" s="713"/>
    </row>
    <row r="96" spans="1:130" ht="16" customHeight="1" thickBot="1">
      <c r="A96" s="159" t="s">
        <v>1273</v>
      </c>
      <c r="B96" s="970" t="e">
        <f t="array" aca="1" ref="B96" ca="1">_xll.BDP($BD$1,"ud upload date 1p")*1</f>
        <v>#NAME?</v>
      </c>
      <c r="C96" s="62" t="s">
        <v>1274</v>
      </c>
      <c r="D96" s="61"/>
      <c r="E96" s="724" t="e">
        <f ca="1">E93+E94+E95</f>
        <v>#NAME?</v>
      </c>
      <c r="F96" s="724" t="e">
        <f ca="1">F93+F94+F95</f>
        <v>#VALUE!</v>
      </c>
      <c r="G96" s="724" t="e">
        <f ca="1">G93+G94+G95</f>
        <v>#VALUE!</v>
      </c>
      <c r="H96" s="728" t="e">
        <f ca="1">(E96*BJ90)+(F96*BJ91)+(G96*BJ92)</f>
        <v>#NAME?</v>
      </c>
      <c r="I96" s="1053"/>
      <c r="J96" s="1055"/>
      <c r="K96" s="998" t="str">
        <f ca="1">"M  "&amp;AV92</f>
        <v xml:space="preserve">M  </v>
      </c>
      <c r="L96" s="314" t="s">
        <v>1275</v>
      </c>
      <c r="M96" s="207" t="e">
        <f ca="1">IF(LEFT(BM96,1)="#","",BM96)</f>
        <v>#NAME?</v>
      </c>
      <c r="N96" s="802" t="str">
        <f ca="1">"PEG "&amp;AX92</f>
        <v xml:space="preserve">PEG </v>
      </c>
      <c r="O96" s="985" t="e">
        <f t="array" aca="1" ref="O96" ca="1">_xll.BDP($BD$1,"ud abs growth")*1</f>
        <v>#NAME?</v>
      </c>
      <c r="P96" s="986" t="e">
        <f t="array" aca="1" ref="P96" ca="1">_xll.BDP($BD$1,"ud accell decell g")*1</f>
        <v>#NAME?</v>
      </c>
      <c r="Q96" s="986" t="e">
        <f t="array" aca="1" ref="Q96" ca="1">_xll.BDP($BD$1,"ud cur g vs ltg")*1</f>
        <v>#NAME?</v>
      </c>
      <c r="R96" s="986" t="e">
        <f t="array" aca="1" ref="R96" ca="1">_xll.BDP($BD$1,"ud estimate rating")*1</f>
        <v>#NAME?</v>
      </c>
      <c r="S96" s="986" t="e">
        <f t="array" aca="1" ref="S96" ca="1">_xll.BDP($BD$1,"ud level rating")*1</f>
        <v>#NAME?</v>
      </c>
      <c r="T96" s="986" t="e">
        <f t="array" aca="1" ref="T96" ca="1">_xll.BDP($BD$1,"ud trend rating")*1</f>
        <v>#NAME?</v>
      </c>
      <c r="U96" s="986" t="e">
        <f t="array" aca="1" ref="U96" ca="1">_xll.BDP($BD$1,"ud technical rating")*1</f>
        <v>#NAME?</v>
      </c>
      <c r="V96" s="986" t="e">
        <f t="array" aca="1" ref="V96" ca="1">_xll.BDP($BD$1,"ud wild card")*1</f>
        <v>#NAME?</v>
      </c>
      <c r="W96" s="279" t="s">
        <v>1265</v>
      </c>
      <c r="X96" s="792" t="e">
        <f ca="1">IF(O1="Financials",#REF!,#REF!)</f>
        <v>#NAME?</v>
      </c>
      <c r="Y96" s="233" t="s">
        <v>495</v>
      </c>
      <c r="Z96" s="234"/>
      <c r="AA96" s="792" t="e">
        <f t="array" aca="1" ref="AA96" ca="1">IF(LEFT(_xll.BDP($BD$1,"ud gprp country"),1)="#","",_xll.BDP($BD$1,"ud gprp country"))</f>
        <v>#NAME?</v>
      </c>
      <c r="AB96" s="159" t="s">
        <v>1276</v>
      </c>
      <c r="AC96" s="759" t="e">
        <f t="array" aca="1" ref="AC96" ca="1">_xll.BDP($BD$1,"is orders received value","scaling format",$BI$8)*1</f>
        <v>#NAME?</v>
      </c>
      <c r="AD96" s="85" t="s">
        <v>1277</v>
      </c>
      <c r="AE96" s="760" t="e">
        <f t="array" aca="1" ref="AE96" ca="1">_xll.BDP(BD1,"tot analyst rec")</f>
        <v>#NAME?</v>
      </c>
      <c r="AF96" s="815" t="s">
        <v>790</v>
      </c>
      <c r="AG96" s="805">
        <f>B38</f>
        <v>8.5461407966256573</v>
      </c>
      <c r="AH96" s="805">
        <f>AU38</f>
        <v>6.3379372679135404</v>
      </c>
      <c r="AI96" s="805">
        <f>T38</f>
        <v>26.353314935113904</v>
      </c>
      <c r="AJ96" s="805">
        <f>AV38</f>
        <v>23.782231797939414</v>
      </c>
      <c r="AK96" s="805">
        <f>AG38</f>
        <v>48.659575417309675</v>
      </c>
      <c r="AL96" s="784">
        <f>AW38</f>
        <v>45.422130789599805</v>
      </c>
      <c r="AM96" s="681" t="str">
        <f>A33</f>
        <v>FY2</v>
      </c>
      <c r="AN96" s="814" t="e">
        <f ca="1">BC33</f>
        <v>#NAME?</v>
      </c>
      <c r="AO96" s="814" t="e">
        <f ca="1">S33</f>
        <v>#NAME?</v>
      </c>
      <c r="AP96" s="784" t="e">
        <f t="shared" ca="1" si="201"/>
        <v>#NAME?</v>
      </c>
      <c r="AQ96" s="249" t="s">
        <v>1278</v>
      </c>
      <c r="AR96" s="250"/>
      <c r="AS96" s="984" t="str">
        <f ca="1">IFERROR(AA33/BF33*100,"")</f>
        <v/>
      </c>
      <c r="AU96" s="495" t="s">
        <v>1279</v>
      </c>
      <c r="AV96" s="166" t="s">
        <v>1280</v>
      </c>
      <c r="AW96" s="166" t="s">
        <v>1281</v>
      </c>
      <c r="AX96" s="166" t="s">
        <v>1282</v>
      </c>
      <c r="AY96" s="496" t="s">
        <v>1283</v>
      </c>
      <c r="AZ96" s="46"/>
      <c r="BC96" s="358" t="s">
        <v>1284</v>
      </c>
      <c r="BD96" s="730" t="e">
        <f ca="1">_xlfn.IFNA(DZ2,0)</f>
        <v>#NAME?</v>
      </c>
      <c r="BE96" s="440" t="s">
        <v>1256</v>
      </c>
      <c r="BF96" s="731" t="e">
        <f t="array" aca="1" ref="BF96" ca="1">_xll.BDP($BD$1,"ud gp est upside yield","eqy fund per=A","eqy fund year",RIGHT($BB$36,4))</f>
        <v>#NAME?</v>
      </c>
      <c r="BG96" s="440" t="s">
        <v>1256</v>
      </c>
      <c r="BH96" s="731" t="e">
        <f t="array" aca="1" ref="BH96" ca="1">_xll.BDP($BD$1,"ud gp est downside yield","eqy fund per=A","eqy fund year",RIGHT($BB$36,4))</f>
        <v>#NAME?</v>
      </c>
      <c r="BI96" s="358" t="s">
        <v>863</v>
      </c>
      <c r="BJ96" s="444" t="e">
        <f t="array" aca="1" ref="BJ96" ca="1">_xll.BDP(BD1,"ud rec")</f>
        <v>#NAME?</v>
      </c>
      <c r="BK96" s="358"/>
      <c r="BL96" s="362"/>
      <c r="BM96" s="358" t="e">
        <f t="array" aca="1" ref="BM96" ca="1">_xll.BDP($BD$1,"ud company grade")</f>
        <v>#NAME?</v>
      </c>
      <c r="BN96" s="362"/>
      <c r="BO96" s="46"/>
      <c r="BY96" s="61"/>
    </row>
    <row r="97" spans="1:88" ht="16" customHeight="1" thickBot="1">
      <c r="A97" s="160" t="s">
        <v>1285</v>
      </c>
      <c r="B97" s="207" t="e">
        <f ca="1">IF(B96&gt;B99,"OK","Update")</f>
        <v>#NAME?</v>
      </c>
      <c r="C97" s="316" t="s">
        <v>129</v>
      </c>
      <c r="D97" s="317" t="str">
        <f t="array" aca="1" ref="D97" ca="1">IFERROR(_xll.BDP(BD1,"UD_QR_DUPONT")*1,"")</f>
        <v/>
      </c>
      <c r="E97" s="316" t="s">
        <v>155</v>
      </c>
      <c r="F97" s="317" t="str">
        <f t="array" aca="1" ref="F97" ca="1">IFERROR(_xll.BDP(BD1,"UD_QR_DURABILITY")*1,"")</f>
        <v/>
      </c>
      <c r="G97" s="316" t="s">
        <v>169</v>
      </c>
      <c r="H97" s="317" t="str">
        <f t="array" aca="1" ref="H97" ca="1">IFERROR(_xll.BDP(BD1,"UD_QR_ADVANTAGE")*1,"")</f>
        <v/>
      </c>
      <c r="I97" s="316" t="s">
        <v>192</v>
      </c>
      <c r="J97" s="317" t="str">
        <f t="array" aca="1" ref="J97" ca="1">IFERROR(_xll.BDP(BD1,"UD_QR_HEADROOM")*1,"")</f>
        <v/>
      </c>
      <c r="K97" s="316" t="s">
        <v>217</v>
      </c>
      <c r="L97" s="317" t="str">
        <f t="array" aca="1" ref="L97" ca="1">IFERROR(_xll.BDP(BD1,"UD_QR_CONSISTENCY")*1,"")</f>
        <v/>
      </c>
      <c r="M97" s="316" t="s">
        <v>1286</v>
      </c>
      <c r="N97" s="317" t="str">
        <f t="array" aca="1" ref="N97" ca="1">IFERROR(_xll.BDP(BD1,"UD_QR_PREDICTABILITY")*1,"")</f>
        <v/>
      </c>
      <c r="O97" s="316" t="s">
        <v>1287</v>
      </c>
      <c r="P97" s="317" t="str">
        <f t="array" aca="1" ref="P97" ca="1">IFERROR(_xll.BDP(BD1,"UD_QR_MANAGEMENT")*1,"")</f>
        <v/>
      </c>
      <c r="Q97" s="316" t="s">
        <v>1288</v>
      </c>
      <c r="R97" s="317" t="str">
        <f t="array" aca="1" ref="R97" ca="1">IFERROR(_xll.BDP(BD1,"UD_QR_GOVERNANCE")*1,"")</f>
        <v/>
      </c>
      <c r="S97" s="316" t="s">
        <v>1289</v>
      </c>
      <c r="T97" s="317" t="str">
        <f t="array" aca="1" ref="T97" ca="1">IFERROR(_xll.BDP(BD1,"UD_QR_SUSTAINABILITY")*1,"")</f>
        <v/>
      </c>
      <c r="U97" s="316" t="s">
        <v>1290</v>
      </c>
      <c r="V97" s="317" t="str">
        <f t="array" aca="1" ref="V97" ca="1">IFERROR(_xll.BDP(BD1,"UD_QR_BINARINESS")*1,"")</f>
        <v/>
      </c>
      <c r="W97" s="257" t="s">
        <v>1291</v>
      </c>
      <c r="X97" s="999" t="e">
        <f ca="1">IF(O1="Financials",#REF!,#REF!)</f>
        <v>#NAME?</v>
      </c>
      <c r="Y97" s="249" t="s">
        <v>1292</v>
      </c>
      <c r="Z97" s="234"/>
      <c r="AA97" s="999" t="e">
        <f t="array" aca="1" ref="AA97" ca="1">IF(LEFT(_xll.BDP($BD$1,"ud gprp manual adj"),1)="#","",_xll.BDP($BD$1,"ud gprp manual adj"))</f>
        <v>#NAME?</v>
      </c>
      <c r="AB97" s="160" t="s">
        <v>1293</v>
      </c>
      <c r="AC97" s="303" t="str">
        <f ca="1">IFERROR(AC96/B30,"")</f>
        <v/>
      </c>
      <c r="AD97" s="86" t="s">
        <v>1294</v>
      </c>
      <c r="AE97" s="757" t="e">
        <f t="array" aca="1" ref="AE97" ca="1">_xll.BDP(BD1,"tot buy rec")</f>
        <v>#NAME?</v>
      </c>
      <c r="AF97" s="815" t="s">
        <v>799</v>
      </c>
      <c r="AG97" s="805">
        <f>B39</f>
        <v>1.9625771083821686</v>
      </c>
      <c r="AH97" s="805">
        <f>AU39</f>
        <v>0.18192127063743069</v>
      </c>
      <c r="AI97" s="805">
        <f>T39</f>
        <v>5.8276412125133126</v>
      </c>
      <c r="AJ97" s="805">
        <f>AV39</f>
        <v>3.9792766082679787</v>
      </c>
      <c r="AK97" s="805">
        <f>AG39</f>
        <v>55.650037589634735</v>
      </c>
      <c r="AL97" s="784">
        <f>AW39</f>
        <v>54.580756528897354</v>
      </c>
      <c r="AM97" s="681" t="str">
        <f>A34</f>
        <v>FY3</v>
      </c>
      <c r="AN97" s="814" t="e">
        <f ca="1">BC34</f>
        <v>#NAME?</v>
      </c>
      <c r="AO97" s="814" t="e">
        <f ca="1">S34</f>
        <v>#NAME?</v>
      </c>
      <c r="AP97" s="784" t="e">
        <f t="shared" ca="1" si="201"/>
        <v>#NAME?</v>
      </c>
      <c r="AQ97" s="982" t="s">
        <v>540</v>
      </c>
      <c r="AR97" s="248">
        <f>AU30</f>
        <v>626.05629999999996</v>
      </c>
      <c r="AS97" s="984" t="str">
        <f ca="1">IFERROR(AA34/BF34*100,"")</f>
        <v/>
      </c>
      <c r="AT97" s="953"/>
      <c r="AU97" s="416" t="e">
        <f t="array" aca="1" ref="AU97" ca="1">_xll.BDP($BD$1,"best sales","best fperiod override","1FY","best consolidated override","C","eqy fund crncy",$B$13)/$BG$11</f>
        <v>#NAME?</v>
      </c>
      <c r="AV97" s="48" t="e">
        <f t="array" aca="1" ref="AV97" ca="1">_xll.BDP($BD$1,"best sales","best fperiod override","1FY","best consolidated override","P","eqy fund crncy",$B$13)/$BG$11</f>
        <v>#NAME?</v>
      </c>
      <c r="AW97" s="51" t="e">
        <f t="array" aca="1" ref="AW97" ca="1">_xll.BDP($BD$1,"best eps","best fperiod override","1FY","best consolidated override","C","eqy fund crncy",$B$13)</f>
        <v>#NAME?</v>
      </c>
      <c r="AX97" s="51" t="e">
        <f t="array" aca="1" ref="AX97" ca="1">_xll.BDP($BD$1,"best eps","best fperiod override","1FY","best consolidated override","P","eqy fund crncy",$B$13)</f>
        <v>#NAME?</v>
      </c>
      <c r="AY97" s="456"/>
      <c r="AZ97" s="46"/>
      <c r="BI97" s="445" t="s">
        <v>1295</v>
      </c>
      <c r="BJ97" s="446" t="str">
        <f ca="1">IF(AND(ISNUMBER(BJ94),ISNUMBER(BJ95)),BJ94&amp;","&amp;BJ95,"")</f>
        <v/>
      </c>
      <c r="BL97" s="46"/>
      <c r="BO97" s="46"/>
      <c r="BY97" s="61"/>
    </row>
    <row r="98" spans="1:88" ht="16" customHeight="1" thickBot="1">
      <c r="A98" s="62" t="s">
        <v>1296</v>
      </c>
      <c r="B98" s="1000" t="e">
        <f t="array" aca="1" ref="B98" ca="1">_xll.BDP($BD$1,"ud date validated 1p")*1</f>
        <v>#NAME?</v>
      </c>
      <c r="C98" s="310" t="s">
        <v>10</v>
      </c>
      <c r="D98" s="757" t="str">
        <f t="array" aca="1" ref="D98" ca="1">IFERROR(_xll.BDP(BD1,"UD_QR_PROFITABILITY_PROFILE")*1,"")</f>
        <v/>
      </c>
      <c r="E98" s="310" t="s">
        <v>11</v>
      </c>
      <c r="F98" s="757" t="str">
        <f t="array" aca="1" ref="F98" ca="1">IFERROR(_xll.BDP(BD1,"UD_QR_BALANCE_SHEET")*1,"")</f>
        <v/>
      </c>
      <c r="G98" s="310" t="s">
        <v>12</v>
      </c>
      <c r="H98" s="757" t="str">
        <f t="array" aca="1" ref="H98" ca="1">IFERROR(_xll.BDP(BD1,"UD_QR_DIFFERENTIATION_POSITION")*1,"")</f>
        <v/>
      </c>
      <c r="I98" s="310" t="s">
        <v>13</v>
      </c>
      <c r="J98" s="757" t="str">
        <f t="array" aca="1" ref="J98" ca="1">IFERROR(_xll.BDP(BD1,"UD_QR_GROWTH_ROBUSTNESS")*1,"")</f>
        <v/>
      </c>
      <c r="K98" s="310" t="s">
        <v>14</v>
      </c>
      <c r="L98" s="757" t="str">
        <f t="array" aca="1" ref="L98" ca="1">IFERROR(_xll.BDP(BD1,"UD_QR_REVENUE_RECURRENCE")*1,"")</f>
        <v/>
      </c>
      <c r="M98" s="310" t="s">
        <v>15</v>
      </c>
      <c r="N98" s="757" t="str">
        <f t="array" aca="1" ref="N98" ca="1">IFERROR(_xll.BDP(BD1,"UD_QR_MODEL_SIMPLICITY")*1,"")</f>
        <v/>
      </c>
      <c r="O98" s="310" t="s">
        <v>16</v>
      </c>
      <c r="P98" s="757" t="str">
        <f t="array" aca="1" ref="P98" ca="1">IFERROR(_xll.BDP(BD1,"UD_QR_TRACK_RECORD")*1,"")</f>
        <v/>
      </c>
      <c r="Q98" s="310" t="s">
        <v>17</v>
      </c>
      <c r="R98" s="757" t="str">
        <f t="array" aca="1" ref="R98" ca="1">IFERROR(_xll.BDP(BD1,"UD_QR_MANAGEMENT_OVERSIGHT")*1,"")</f>
        <v/>
      </c>
      <c r="S98" s="310" t="s">
        <v>18</v>
      </c>
      <c r="T98" s="757" t="str">
        <f t="array" aca="1" ref="T98" ca="1">IFERROR(_xll.BDP(BD1,"UD_QR_ENVIRONMENTAL_JUSTICE")*1,"")</f>
        <v/>
      </c>
      <c r="U98" s="310" t="s">
        <v>19</v>
      </c>
      <c r="V98" s="757" t="str">
        <f t="array" aca="1" ref="V98" ca="1">IFERROR(_xll.BDP(BD1,"UD_QR_CONTERPARTY_CONC")*1,"")</f>
        <v/>
      </c>
      <c r="W98" s="279" t="s">
        <v>831</v>
      </c>
      <c r="X98" s="792" t="e">
        <f ca="1">IF(O1="Financials",#REF!,#REF!)</f>
        <v>#NAME?</v>
      </c>
      <c r="Y98" s="233" t="s">
        <v>1297</v>
      </c>
      <c r="Z98" s="234"/>
      <c r="AA98" s="792" t="e">
        <f t="array" aca="1" ref="AA98" ca="1">IF(LEFT(_xll.BDP($BD$1,"ud gprp gross"),1)="#","",_xll.BDP($BD$1,"ud gprp gross"))</f>
        <v>#NAME?</v>
      </c>
      <c r="AB98" s="159" t="s">
        <v>1298</v>
      </c>
      <c r="AC98" s="759" t="e">
        <f t="array" aca="1" ref="AC98" ca="1">_xll.BDP($BD$1,"is order backlog value","scaling format",$BI$8)*1</f>
        <v>#NAME?</v>
      </c>
      <c r="AD98" s="86" t="s">
        <v>1299</v>
      </c>
      <c r="AE98" s="757" t="e">
        <f t="array" aca="1" ref="AE98" ca="1">_xll.BDP(BD1,"tot hold rec")</f>
        <v>#NAME?</v>
      </c>
      <c r="AF98" s="815" t="s">
        <v>802</v>
      </c>
      <c r="AG98" s="805">
        <f>B40</f>
        <v>10.108516233145902</v>
      </c>
      <c r="AH98" s="805">
        <f>AU40</f>
        <v>8.1381623472274622</v>
      </c>
      <c r="AI98" s="805">
        <f>T40</f>
        <v>10.119136522528095</v>
      </c>
      <c r="AJ98" s="805">
        <f>AV40</f>
        <v>8.1482861376802163</v>
      </c>
      <c r="AK98" s="805">
        <f>AG40</f>
        <v>45.908893214760596</v>
      </c>
      <c r="AL98" s="784">
        <f>AW40</f>
        <v>41.135492513911778</v>
      </c>
      <c r="AM98" s="681" t="str">
        <f>A35</f>
        <v>FY4</v>
      </c>
      <c r="AN98" s="814" t="e">
        <f ca="1">BC35</f>
        <v>#NAME?</v>
      </c>
      <c r="AO98" s="814" t="e">
        <f ca="1">S35</f>
        <v>#NAME?</v>
      </c>
      <c r="AP98" s="784" t="e">
        <f t="shared" ca="1" si="201"/>
        <v>#NAME?</v>
      </c>
      <c r="AQ98" s="982" t="s">
        <v>873</v>
      </c>
      <c r="AR98" s="248" t="e">
        <f t="array" aca="1" ref="AR98" ca="1">_xll.BDP($BD$1,"bs tot asset","eqy fund crncy=USD","scaling format",$BI$8)</f>
        <v>#NAME?</v>
      </c>
      <c r="AS98" s="984" t="str">
        <f ca="1">IFERROR(AA35/BF35*100,"")</f>
        <v/>
      </c>
      <c r="AT98" s="953"/>
      <c r="AU98" s="440"/>
      <c r="AV98" s="454" t="str">
        <f ca="1">IF(ISNUMBER(AU97),"C",IF(ISNUMBER(AV97),"P",""))</f>
        <v/>
      </c>
      <c r="AW98" s="452"/>
      <c r="AX98" s="454" t="str">
        <f ca="1">IF(ISNUMBER(AW97),"C",IF(ISNUMBER(AX97),"P",""))</f>
        <v/>
      </c>
      <c r="AY98" s="298" t="str">
        <f ca="1">IF(AV98="C","C",IF(AV98="P","P",IF(AX98="C","C",IF(AX98="P","P",""))))</f>
        <v/>
      </c>
      <c r="AZ98" s="46"/>
      <c r="BF98" s="919"/>
      <c r="BL98" s="46"/>
      <c r="BO98" s="46"/>
      <c r="BY98" s="61"/>
      <c r="BZ98" s="61"/>
      <c r="CA98" s="61"/>
      <c r="CB98" s="61"/>
      <c r="CC98" s="61"/>
    </row>
    <row r="99" spans="1:88" ht="15.75" customHeight="1">
      <c r="A99" s="160" t="s">
        <v>1300</v>
      </c>
      <c r="B99" s="972" t="e">
        <f ca="1">DATEVALUE(BN11)</f>
        <v>#NAME?</v>
      </c>
      <c r="C99" s="311" t="s">
        <v>23</v>
      </c>
      <c r="D99" s="766" t="str">
        <f t="array" aca="1" ref="D99" ca="1">IFERROR(_xll.BDP(BD1,"UD_QR_GROWTH_PROFILE")*1,"")</f>
        <v/>
      </c>
      <c r="E99" s="311" t="s">
        <v>24</v>
      </c>
      <c r="F99" s="766" t="str">
        <f t="array" aca="1" ref="F99" ca="1">IFERROR(_xll.BDP(BD1,"UD_QR_CASH_FLOW")*1,"")</f>
        <v/>
      </c>
      <c r="G99" s="311" t="s">
        <v>25</v>
      </c>
      <c r="H99" s="766" t="str">
        <f t="array" aca="1" ref="H99" ca="1">IFERROR(_xll.BDP(BD1,"UD_QR_COST_POSITION")*1,"")</f>
        <v/>
      </c>
      <c r="I99" s="311" t="s">
        <v>26</v>
      </c>
      <c r="J99" s="766" t="str">
        <f t="array" aca="1" ref="J99" ca="1">IFERROR(_xll.BDP(BD1,"UD_QR_GROWTH_LONGEVITY")*1,"")</f>
        <v/>
      </c>
      <c r="K99" s="311" t="s">
        <v>27</v>
      </c>
      <c r="L99" s="766" t="str">
        <f t="array" aca="1" ref="L99" ca="1">IFERROR(_xll.BDP(BD1,"UD_QR_CYCLE_SENSITIVITY")*1,"")</f>
        <v/>
      </c>
      <c r="M99" s="311" t="s">
        <v>28</v>
      </c>
      <c r="N99" s="766" t="str">
        <f t="array" aca="1" ref="N99" ca="1">IFERROR(_xll.BDP(BD1,"UD_QR_INDUSTRY_PEDIGREE")*1,"")</f>
        <v/>
      </c>
      <c r="O99" s="311" t="s">
        <v>29</v>
      </c>
      <c r="P99" s="766" t="str">
        <f t="array" aca="1" ref="P99" ca="1">IFERROR(_xll.BDP(BD1,"UD_QR_STRATEGIC_CREDIBILITY")*1,"")</f>
        <v/>
      </c>
      <c r="Q99" s="311" t="s">
        <v>30</v>
      </c>
      <c r="R99" s="766" t="str">
        <f t="array" aca="1" ref="R99" ca="1">IFERROR(_xll.BDP(BD1,"UD_QR_MANAGEMENT_TRANSPARENCY")*1,"")</f>
        <v/>
      </c>
      <c r="S99" s="311" t="s">
        <v>31</v>
      </c>
      <c r="T99" s="766" t="str">
        <f t="array" aca="1" ref="T99" ca="1">IFERROR(_xll.BDP(BD1,"UD_QR_SOCIAL_JUSTICE")*1,"")</f>
        <v/>
      </c>
      <c r="U99" s="311" t="s">
        <v>32</v>
      </c>
      <c r="V99" s="766" t="str">
        <f t="array" aca="1" ref="V99" ca="1">IFERROR(_xll.BDP(BD1,"UD_QR_CONTERPARTY_CONC")*1,"")</f>
        <v/>
      </c>
      <c r="W99" s="208" t="s">
        <v>1301</v>
      </c>
      <c r="X99" s="207" t="s">
        <v>769</v>
      </c>
      <c r="Y99" s="208" t="e">
        <f ca="1">BD3</f>
        <v>#NAME?</v>
      </c>
      <c r="Z99" s="280" t="s">
        <v>1302</v>
      </c>
      <c r="AA99" s="802" t="e">
        <f t="array" aca="1" ref="AA99" ca="1">_xll.BDP(BD1,"country risk rfr")</f>
        <v>#NAME?</v>
      </c>
      <c r="AB99" s="160" t="s">
        <v>1303</v>
      </c>
      <c r="AC99" s="303" t="str">
        <f ca="1">IFERROR(AC98/B30,"")</f>
        <v/>
      </c>
      <c r="AD99" s="90" t="s">
        <v>1304</v>
      </c>
      <c r="AE99" s="766" t="e">
        <f t="array" aca="1" ref="AE99" ca="1">_xll.BDP(BD1,"tot sell rec")</f>
        <v>#NAME?</v>
      </c>
      <c r="AF99" s="796" t="s">
        <v>804</v>
      </c>
      <c r="AG99" s="797">
        <f>B41</f>
        <v>-19.921700997413094</v>
      </c>
      <c r="AH99" s="797">
        <f>AU41</f>
        <v>-17.77383349490329</v>
      </c>
      <c r="AI99" s="797">
        <f>T41</f>
        <v>-23.103448275862071</v>
      </c>
      <c r="AJ99" s="797">
        <f>AV41</f>
        <v>-21.041086920936326</v>
      </c>
      <c r="AK99" s="797">
        <f>AG41</f>
        <v>149.91517422339254</v>
      </c>
      <c r="AL99" s="798">
        <f>AW41</f>
        <v>158.15167301472991</v>
      </c>
      <c r="AM99" s="763" t="str">
        <f>A36</f>
        <v>FY5</v>
      </c>
      <c r="AN99" s="875" t="e">
        <f ca="1">BC36</f>
        <v>#NAME?</v>
      </c>
      <c r="AO99" s="875" t="e">
        <f ca="1">S36</f>
        <v>#NAME?</v>
      </c>
      <c r="AP99" s="798" t="e">
        <f t="shared" ca="1" si="201"/>
        <v>#NAME?</v>
      </c>
      <c r="AQ99" s="752"/>
      <c r="AR99" s="754"/>
      <c r="AS99" s="994" t="str">
        <f ca="1">IFERROR(AA36/BF36*100,"")</f>
        <v/>
      </c>
      <c r="AT99" s="953"/>
      <c r="AU99" s="46"/>
      <c r="AY99" s="46"/>
      <c r="AZ99" s="46"/>
      <c r="BL99" s="46"/>
      <c r="BO99" s="46"/>
      <c r="BP99" s="46"/>
    </row>
    <row r="100" spans="1:88" ht="15.75" customHeight="1">
      <c r="A100" s="17"/>
      <c r="B100" s="17"/>
      <c r="AD100" t="s">
        <v>463</v>
      </c>
      <c r="AL100" s="17"/>
      <c r="AM100" s="17"/>
      <c r="AN100" s="17"/>
      <c r="AO100" s="17"/>
      <c r="AP100" s="17"/>
      <c r="AQ100" s="17"/>
      <c r="AR100" s="1001"/>
      <c r="AS100" s="1001"/>
      <c r="AT100" s="953"/>
      <c r="AU100" s="46"/>
      <c r="BL100" s="46"/>
      <c r="BO100" s="46"/>
      <c r="BP100" s="46"/>
    </row>
    <row r="101" spans="1:88" ht="15.75" customHeight="1" thickBot="1">
      <c r="A101" s="17"/>
      <c r="H101" s="97"/>
      <c r="I101" s="97"/>
      <c r="J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17"/>
      <c r="Z101" s="17"/>
      <c r="AA101" s="17"/>
      <c r="AB101" s="17"/>
      <c r="AC101" s="17"/>
      <c r="AD101" s="17"/>
      <c r="AH101" s="75" t="e">
        <f t="array" aca="1" ref="AH101" ca="1">_xll.BDP($BD$1,"is comp eps gaap")</f>
        <v>#NAME?</v>
      </c>
      <c r="AL101" s="75" t="e">
        <f t="array" aca="1" ref="AL101" ca="1">_xll.BDP($BD$1,"is comp eps adjusted")</f>
        <v>#NAME?</v>
      </c>
      <c r="AU101" s="46"/>
      <c r="AX101" s="297" t="s">
        <v>1305</v>
      </c>
      <c r="BL101" s="60"/>
    </row>
    <row r="102" spans="1:88" ht="15.75" customHeight="1">
      <c r="A102" s="137"/>
      <c r="B102" s="261" t="s">
        <v>1306</v>
      </c>
      <c r="C102" s="122" t="s">
        <v>503</v>
      </c>
      <c r="D102" s="122" t="s">
        <v>1307</v>
      </c>
      <c r="E102" s="262" t="s">
        <v>1308</v>
      </c>
      <c r="F102" s="261" t="s">
        <v>1306</v>
      </c>
      <c r="G102" s="122" t="s">
        <v>503</v>
      </c>
      <c r="H102" s="122" t="s">
        <v>1307</v>
      </c>
      <c r="I102" s="122" t="s">
        <v>1308</v>
      </c>
      <c r="J102" s="122" t="s">
        <v>503</v>
      </c>
      <c r="K102" s="262" t="s">
        <v>1307</v>
      </c>
      <c r="L102" s="261" t="s">
        <v>1306</v>
      </c>
      <c r="M102" s="122" t="s">
        <v>503</v>
      </c>
      <c r="N102" s="122" t="s">
        <v>503</v>
      </c>
      <c r="O102" s="122" t="s">
        <v>1307</v>
      </c>
      <c r="P102" s="121"/>
      <c r="Q102" s="122" t="s">
        <v>503</v>
      </c>
      <c r="R102" s="262" t="s">
        <v>1307</v>
      </c>
      <c r="S102" s="261" t="s">
        <v>1306</v>
      </c>
      <c r="T102" s="122" t="s">
        <v>502</v>
      </c>
      <c r="U102" s="122" t="s">
        <v>1309</v>
      </c>
      <c r="V102" s="262" t="s">
        <v>1310</v>
      </c>
      <c r="W102" s="261" t="s">
        <v>1306</v>
      </c>
      <c r="X102" s="122" t="s">
        <v>503</v>
      </c>
      <c r="Y102" s="122" t="s">
        <v>1307</v>
      </c>
      <c r="Z102" s="123"/>
      <c r="AA102" s="261" t="s">
        <v>1306</v>
      </c>
      <c r="AB102" s="122" t="s">
        <v>503</v>
      </c>
      <c r="AC102" s="122" t="s">
        <v>502</v>
      </c>
      <c r="AD102" s="123"/>
      <c r="AE102" s="137" t="s">
        <v>1311</v>
      </c>
      <c r="AF102" s="261" t="s">
        <v>1306</v>
      </c>
      <c r="AG102" s="122" t="s">
        <v>503</v>
      </c>
      <c r="AH102" s="122" t="s">
        <v>502</v>
      </c>
      <c r="AI102" s="262"/>
      <c r="AJ102" s="261" t="s">
        <v>1306</v>
      </c>
      <c r="AK102" s="122" t="s">
        <v>503</v>
      </c>
      <c r="AL102" s="122" t="s">
        <v>502</v>
      </c>
      <c r="AM102" s="123"/>
      <c r="AN102" s="261" t="s">
        <v>503</v>
      </c>
      <c r="AO102" s="262" t="s">
        <v>502</v>
      </c>
      <c r="AP102" s="137" t="s">
        <v>1311</v>
      </c>
      <c r="AU102" s="517" t="s">
        <v>1312</v>
      </c>
      <c r="AV102" s="518" t="s">
        <v>1313</v>
      </c>
      <c r="AW102" s="1002" t="e">
        <f t="array" aca="1" ref="AW102" ca="1">_xll.BDP(BJ4&amp;" Curncy","ud cs index")</f>
        <v>#NAME?</v>
      </c>
      <c r="AX102" s="518" t="s">
        <v>1314</v>
      </c>
      <c r="AY102" s="1003" t="s">
        <v>1315</v>
      </c>
    </row>
    <row r="103" spans="1:88" ht="15.75" customHeight="1">
      <c r="A103" s="138"/>
      <c r="B103" s="263" t="s">
        <v>540</v>
      </c>
      <c r="C103" s="264" t="s">
        <v>540</v>
      </c>
      <c r="D103" s="264" t="s">
        <v>540</v>
      </c>
      <c r="E103" s="265" t="s">
        <v>502</v>
      </c>
      <c r="F103" s="263" t="s">
        <v>620</v>
      </c>
      <c r="G103" s="264" t="s">
        <v>620</v>
      </c>
      <c r="H103" s="264" t="s">
        <v>620</v>
      </c>
      <c r="I103" s="264" t="s">
        <v>502</v>
      </c>
      <c r="J103" s="264" t="s">
        <v>1316</v>
      </c>
      <c r="K103" s="265" t="s">
        <v>1316</v>
      </c>
      <c r="L103" s="263" t="s">
        <v>622</v>
      </c>
      <c r="M103" s="264" t="s">
        <v>1317</v>
      </c>
      <c r="N103" s="264" t="s">
        <v>1318</v>
      </c>
      <c r="O103" s="264" t="s">
        <v>622</v>
      </c>
      <c r="P103" s="264" t="s">
        <v>1319</v>
      </c>
      <c r="Q103" s="264" t="s">
        <v>1320</v>
      </c>
      <c r="R103" s="265" t="s">
        <v>1320</v>
      </c>
      <c r="S103" s="125" t="s">
        <v>654</v>
      </c>
      <c r="T103" s="126" t="s">
        <v>654</v>
      </c>
      <c r="U103" s="126" t="s">
        <v>1316</v>
      </c>
      <c r="V103" s="127" t="s">
        <v>1316</v>
      </c>
      <c r="W103" s="125" t="s">
        <v>1321</v>
      </c>
      <c r="X103" s="126" t="s">
        <v>629</v>
      </c>
      <c r="Y103" s="126" t="s">
        <v>1322</v>
      </c>
      <c r="Z103" s="127" t="s">
        <v>1319</v>
      </c>
      <c r="AA103" s="263" t="s">
        <v>1323</v>
      </c>
      <c r="AB103" s="264" t="s">
        <v>1063</v>
      </c>
      <c r="AC103" s="264" t="s">
        <v>1324</v>
      </c>
      <c r="AD103" s="265" t="s">
        <v>1319</v>
      </c>
      <c r="AE103" s="266" t="s">
        <v>1064</v>
      </c>
      <c r="AF103" s="263" t="s">
        <v>1325</v>
      </c>
      <c r="AG103" s="264" t="s">
        <v>514</v>
      </c>
      <c r="AH103" s="264" t="s">
        <v>1326</v>
      </c>
      <c r="AI103" s="265" t="s">
        <v>1319</v>
      </c>
      <c r="AJ103" s="263" t="s">
        <v>1327</v>
      </c>
      <c r="AK103" s="264" t="s">
        <v>516</v>
      </c>
      <c r="AL103" s="264" t="s">
        <v>1327</v>
      </c>
      <c r="AM103" s="265" t="s">
        <v>1319</v>
      </c>
      <c r="AN103" s="125" t="s">
        <v>515</v>
      </c>
      <c r="AO103" s="127" t="s">
        <v>515</v>
      </c>
      <c r="AP103" s="266" t="s">
        <v>518</v>
      </c>
      <c r="AU103" s="338" t="s">
        <v>519</v>
      </c>
      <c r="AV103" s="821" t="e">
        <f t="array" aca="1" ref="AV103" ca="1">_xll.BDP($BD$1,"return on asset")*1</f>
        <v>#NAME?</v>
      </c>
      <c r="AW103" s="821" t="e">
        <f t="array" aca="1" ref="AW103" ca="1">_xll.BDP($AW$102&amp;" Index","return on asset")*1</f>
        <v>#NAME?</v>
      </c>
      <c r="AX103" s="821" t="e">
        <f t="array" aca="1" ref="AX103" ca="1">_xll.BDP($AX$101&amp;" Index","return on asset")*1</f>
        <v>#NAME?</v>
      </c>
      <c r="AY103" s="833" t="e">
        <f t="array" aca="1" ref="AY103" ca="1">_xll.BDP($AY$102&amp;" Index","return on asset")*1</f>
        <v>#NAME?</v>
      </c>
    </row>
    <row r="104" spans="1:88" ht="15.75" customHeight="1">
      <c r="A104" s="154" t="str">
        <f>A32</f>
        <v>FY1</v>
      </c>
      <c r="B104" s="81" t="e">
        <f t="array" aca="1" ref="B104" ca="1">_xll.BDP($BD$1,"cest sales","best fperiod override","1FY","best consolidated override",$AY$98,"eqy fund crncy",$B$13)/$BG$11</f>
        <v>#NAME?</v>
      </c>
      <c r="C104" s="76" t="e">
        <f ca="1">B32</f>
        <v>#NAME?</v>
      </c>
      <c r="D104" s="155" t="e">
        <f t="array" aca="1" ref="D104" ca="1">_xll.BDP($BD$1,"best sales","best fperiod override","1FY","best consolidated override",$AY$98,"eqy fund crncy",$B$13)/$BG$11</f>
        <v>#NAME?</v>
      </c>
      <c r="E104" s="732" t="str">
        <f ca="1">IFERROR((C104/D104-1),"")</f>
        <v/>
      </c>
      <c r="F104" s="81" t="e">
        <f t="array" aca="1" ref="F104" ca="1">_xll.BDP($BD$1,"cest ebitda","best fperiod override","1FY","best consolidated override",$AY$98,"eqy fund crncy",$B$13)/$BG$11</f>
        <v>#NAME?</v>
      </c>
      <c r="G104" s="76" t="e">
        <f ca="1">CW32</f>
        <v>#NAME?</v>
      </c>
      <c r="H104" s="155" t="e">
        <f t="array" aca="1" ref="H104" ca="1">_xll.BDP($BD$1,"best ebitda","best fperiod override","1FY","best consolidated override",$AY$98,"eqy fund crncy",$B$13)/$BG$11</f>
        <v>#NAME?</v>
      </c>
      <c r="I104" s="732" t="str">
        <f ca="1">IFERROR((G104/H104-1),"")</f>
        <v/>
      </c>
      <c r="J104" s="1004" t="str">
        <f ca="1">G32</f>
        <v/>
      </c>
      <c r="K104" s="781" t="str">
        <f ca="1">IFERROR(H104/$D104*100,"")</f>
        <v/>
      </c>
      <c r="L104" s="81" t="e">
        <f t="array" aca="1" ref="L104" ca="1">_xll.BDP($BD$1,"cest ebit","best fperiod override","1FY","best consolidated override",$AY$98,"eqy fund crncy",$B$13)/$BG$11</f>
        <v>#NAME?</v>
      </c>
      <c r="M104" s="76" t="e">
        <f ca="1">H32</f>
        <v>#NAME?</v>
      </c>
      <c r="N104" s="76" t="e">
        <f ca="1">W32</f>
        <v>#NAME?</v>
      </c>
      <c r="O104" s="155" t="e">
        <f t="array" aca="1" ref="O104" ca="1">_xll.BDP($BD$1,"best ebit","best fperiod override","1FY","best consolidated override",$AY$98,"eqy fund crncy",$B$13)/$BG$11</f>
        <v>#NAME?</v>
      </c>
      <c r="P104" s="732" t="str">
        <f ca="1">IFERROR((N104/O104-1),"")</f>
        <v/>
      </c>
      <c r="Q104" s="1004" t="str">
        <f ca="1">I32</f>
        <v/>
      </c>
      <c r="R104" s="781" t="str">
        <f ca="1">IFERROR(O104/$D104*100,"")</f>
        <v/>
      </c>
      <c r="S104" s="43" t="e">
        <f t="array" aca="1" ref="S104" ca="1">_xll.BDP($BD$1,"cest ffo","best fperiod override","1FY","best consolidated override",$AY$98,"eqy fund crncy",$B$13)/$BG$11</f>
        <v>#NAME?</v>
      </c>
      <c r="T104" s="747" t="e">
        <f t="array" aca="1" ref="T104" ca="1">_xll.BDP($BD$1,"best ffo","best fperiod override","1FY","best consolidated override",$AY$98,"eqy fund crncy",$B$13)/$BG$11</f>
        <v>#NAME?</v>
      </c>
      <c r="U104" s="43" t="str">
        <f t="shared" ref="U104:V108" ca="1" si="202">IFERROR(S104/$D104*100,"")</f>
        <v/>
      </c>
      <c r="V104" s="748" t="str">
        <f t="shared" ca="1" si="202"/>
        <v/>
      </c>
      <c r="W104" s="76" t="e">
        <f t="array" aca="1" ref="W104" ca="1">_xll.BDP($BD$1,"cest netincme g","best fperiod override","1FY","best consolidated override",$AY$98,"eqy fund crncy",$B$13)/$BG$11</f>
        <v>#NAME?</v>
      </c>
      <c r="X104" s="76" t="e">
        <f t="array" aca="1" ref="X104" ca="1">_xll.BDP($BD$1,"ud gp est ni gaap","eqy fund per=A","eqy fund year",RIGHT($BB$32,4))/$BG$4</f>
        <v>#NAME?</v>
      </c>
      <c r="Y104" s="155" t="e">
        <f t="array" aca="1" ref="Y104" ca="1">_xll.BDP($BD$1,"best net gaap","best fperiod override","1FY","best consolidated override",$AY$98,"eqy fund crncy",$B$13)/$BG$11</f>
        <v>#NAME?</v>
      </c>
      <c r="Z104" s="732" t="str">
        <f ca="1">IFERROR((X104/Y104-1),"")</f>
        <v/>
      </c>
      <c r="AA104" s="81" t="e">
        <f t="array" aca="1" ref="AA104" ca="1">_xll.BDP($BD$1,"cest net income","best fperiod override","1FY","best consolidated override",$AY$98,"eqy fund crncy",$B$13)/$BG$11</f>
        <v>#NAME?</v>
      </c>
      <c r="AB104" s="76" t="e">
        <f t="array" aca="1" ref="AB104" ca="1">_xll.BDP($BD$1,"ud gp est co ni","eqy fund per=A","eqy fund year",RIGHT($BB$32,4))/$BG$4</f>
        <v>#NAME?</v>
      </c>
      <c r="AC104" s="155" t="e">
        <f t="array" aca="1" ref="AC104" ca="1">_xll.BDP($BD$1,"best net income","best fperiod override","1FY","best consolidated override",$AY$98,"eqy fund crncy",$B$13)/$BG$11</f>
        <v>#NAME?</v>
      </c>
      <c r="AD104" s="732" t="str">
        <f ca="1">IFERROR((AB104/AC104-1),"")</f>
        <v/>
      </c>
      <c r="AE104" s="156" t="e">
        <f t="array" aca="1" ref="AE104" ca="1">_xll.BDP($BD$1,"ud gp est ni","be997",RIGHT($BB32,4)&amp;"Y")/$BG$4</f>
        <v>#NAME?</v>
      </c>
      <c r="AF104" s="697" t="e">
        <f t="array" aca="1" ref="AF104" ca="1">_xll.BDP($BD$1,"cest eps gaap","best fperiod override","1FY","best consolidated override",$AY$98,"eqy fund crncy",$B$13)*1</f>
        <v>#NAME?</v>
      </c>
      <c r="AG104" s="696" t="e">
        <f ca="1">T32</f>
        <v>#NAME?</v>
      </c>
      <c r="AH104" s="733" t="e">
        <f t="array" aca="1" ref="AH104" ca="1">_xll.BDP($BD$1,"best eps gaap","best fperiod override","1FY","best consolidated override",$AY$98,"eqy fund crncy",$B$13)</f>
        <v>#NAME?</v>
      </c>
      <c r="AI104" s="732" t="str">
        <f ca="1">IFERROR((AG104/AH104-1),"")</f>
        <v/>
      </c>
      <c r="AJ104" s="697" t="e">
        <f t="array" aca="1" ref="AJ104" ca="1">_xll.BDP($BD$1,"cest eps","best fperiod override","1FY","best consolidated override",$AY$98,"eqy fund crncy",$B$13)*1</f>
        <v>#NAME?</v>
      </c>
      <c r="AK104" s="696" t="e">
        <f ca="1">DJ32</f>
        <v>#NAME?</v>
      </c>
      <c r="AL104" s="733" t="e">
        <f t="array" aca="1" ref="AL104" ca="1">_xll.BDP($BD$1,"best eps","best fperiod override","1FY","best consolidated override",$AY$98,"eqy fund crncy",$B$13)</f>
        <v>#NAME?</v>
      </c>
      <c r="AM104" s="732" t="str">
        <f ca="1">IFERROR((AK104/AL104-1),"")</f>
        <v/>
      </c>
      <c r="AN104" s="1004" t="str">
        <f t="shared" ref="AN104:AO108" ca="1" si="203">IFERROR($AY$31/AK104,"")</f>
        <v/>
      </c>
      <c r="AO104" s="870" t="str">
        <f t="shared" ca="1" si="203"/>
        <v/>
      </c>
      <c r="AP104" s="734" t="e">
        <f ca="1">AC32</f>
        <v>#NAME?</v>
      </c>
      <c r="AQ104" t="s">
        <v>463</v>
      </c>
      <c r="AU104" s="338" t="s">
        <v>520</v>
      </c>
      <c r="AV104" s="821" t="e">
        <f t="array" aca="1" ref="AV104" ca="1">_xll.BDP($BD$1,"return com eqy")*1</f>
        <v>#NAME?</v>
      </c>
      <c r="AW104" s="821" t="e">
        <f t="array" aca="1" ref="AW104" ca="1">_xll.BDP($AW$102&amp;" Index","return com eqy")*1</f>
        <v>#NAME?</v>
      </c>
      <c r="AX104" s="821" t="e">
        <f t="array" aca="1" ref="AX104" ca="1">_xll.BDP($AX$101&amp;" Index","return com eqy")*1</f>
        <v>#NAME?</v>
      </c>
      <c r="AY104" s="833" t="e">
        <f t="array" aca="1" ref="AY104" ca="1">_xll.BDP($AY$102&amp;" Index","return com eqy")*1</f>
        <v>#NAME?</v>
      </c>
    </row>
    <row r="105" spans="1:88" ht="15.75" customHeight="1">
      <c r="A105" s="154" t="str">
        <f>A33</f>
        <v>FY2</v>
      </c>
      <c r="B105" s="74" t="e">
        <f t="array" aca="1" ref="B105" ca="1">_xll.BDP($BD$1,"cest sales","best fperiod override","2FY","best consolidated override",$AY$98,"eqy fund crncy",$B$13)/$BG$11</f>
        <v>#NAME?</v>
      </c>
      <c r="C105" s="687" t="e">
        <f ca="1">B33</f>
        <v>#NAME?</v>
      </c>
      <c r="D105" s="157" t="e">
        <f t="array" aca="1" ref="D105" ca="1">_xll.BDP($BD$1,"best sales","best fperiod override","2FY","best consolidated override",$AY$98,"eqy fund crncy",$B$13)/$BG$11</f>
        <v>#NAME?</v>
      </c>
      <c r="E105" s="735" t="str">
        <f ca="1">IFERROR((C105/D105-1),"")</f>
        <v/>
      </c>
      <c r="F105" s="74" t="e">
        <f t="array" aca="1" ref="F105" ca="1">_xll.BDP($BD$1,"cest ebitda","best fperiod override","2FY","best consolidated override",$AY$98,"eqy fund crncy",$B$13)/$BG$11</f>
        <v>#NAME?</v>
      </c>
      <c r="G105" s="687" t="e">
        <f ca="1">CW33</f>
        <v>#NAME?</v>
      </c>
      <c r="H105" s="157" t="e">
        <f t="array" aca="1" ref="H105" ca="1">_xll.BDP($BD$1,"best ebitda","best fperiod override","2FY","best consolidated override",$AY$98,"eqy fund crncy",$B$13)/$BG$11</f>
        <v>#NAME?</v>
      </c>
      <c r="I105" s="735" t="str">
        <f ca="1">IFERROR((G105/H105-1),"")</f>
        <v/>
      </c>
      <c r="J105" s="815" t="str">
        <f ca="1">G33</f>
        <v/>
      </c>
      <c r="K105" s="784" t="str">
        <f ca="1">IFERROR(H105/$D105*100,"")</f>
        <v/>
      </c>
      <c r="L105" s="74" t="e">
        <f t="array" aca="1" ref="L105" ca="1">_xll.BDP($BD$1,"cest ebit","best fperiod override","2FY","best consolidated override",$AY$98,"eqy fund crncy",$B$13)/$BG$11</f>
        <v>#NAME?</v>
      </c>
      <c r="M105" s="687" t="e">
        <f ca="1">H33</f>
        <v>#NAME?</v>
      </c>
      <c r="N105" s="687" t="e">
        <f ca="1">W33</f>
        <v>#NAME?</v>
      </c>
      <c r="O105" s="157" t="e">
        <f t="array" aca="1" ref="O105" ca="1">_xll.BDP($BD$1,"best ebit","best fperiod override","2FY","best consolidated override",$AY$98,"eqy fund crncy",$B$13)/$BG$11</f>
        <v>#NAME?</v>
      </c>
      <c r="P105" s="735" t="str">
        <f ca="1">IFERROR((N105/O105-1),"")</f>
        <v/>
      </c>
      <c r="Q105" s="815" t="str">
        <f ca="1">I33</f>
        <v/>
      </c>
      <c r="R105" s="784" t="str">
        <f ca="1">IFERROR(O105/$D105*100,"")</f>
        <v/>
      </c>
      <c r="S105" s="749" t="e">
        <f t="array" aca="1" ref="S105" ca="1">_xll.BDP($BD$1,"cest ffo","best fperiod override","2FY","best consolidated override",$AY$98,"eqy fund crncy",$B$13)/$BG$11</f>
        <v>#NAME?</v>
      </c>
      <c r="T105" t="e">
        <f t="array" aca="1" ref="T105" ca="1">_xll.BDP($BD$1,"best ffo","best fperiod override","2FY","best consolidated override",$AY$98,"eqy fund crncy",$B$13)/$BG$11</f>
        <v>#NAME?</v>
      </c>
      <c r="U105" s="749" t="str">
        <f t="shared" ca="1" si="202"/>
        <v/>
      </c>
      <c r="V105" s="751" t="str">
        <f t="shared" ca="1" si="202"/>
        <v/>
      </c>
      <c r="W105" s="687" t="e">
        <f t="array" aca="1" ref="W105" ca="1">_xll.BDP($BD$1,"cest netincme g","best fperiod override","2FY","best consolidated override",$AY$98,"eqy fund crncy",$B$13)/$BG$11</f>
        <v>#NAME?</v>
      </c>
      <c r="X105" s="687" t="e">
        <f t="array" aca="1" ref="X105" ca="1">_xll.BDP($BD$1,"ud gp est ni gaap","eqy fund per=A","eqy fund year",RIGHT($BB$33,4))/$BG$4</f>
        <v>#NAME?</v>
      </c>
      <c r="Y105" s="157" t="e">
        <f t="array" aca="1" ref="Y105" ca="1">_xll.BDP($BD$1,"best net gaap","best fperiod override","2FY","best consolidated override",$AY$98,"eqy fund crncy",$B$13)/$BG$11</f>
        <v>#NAME?</v>
      </c>
      <c r="Z105" s="735" t="str">
        <f ca="1">IFERROR((X105/Y105-1),"")</f>
        <v/>
      </c>
      <c r="AA105" s="74" t="e">
        <f t="array" aca="1" ref="AA105" ca="1">_xll.BDP($BD$1,"cest net income","best fperiod override","2FY","best consolidated override",$AY$98,"eqy fund crncy",$B$13)/$BG$11</f>
        <v>#NAME?</v>
      </c>
      <c r="AB105" s="687" t="e">
        <f t="array" aca="1" ref="AB105" ca="1">_xll.BDP($BD$1,"ud gp est co ni","eqy fund per=A","eqy fund year",RIGHT($BB$33,4))/$BG$4</f>
        <v>#NAME?</v>
      </c>
      <c r="AC105" s="157" t="e">
        <f t="array" aca="1" ref="AC105" ca="1">_xll.BDP($BD$1,"best net income","best fperiod override","2FY","best consolidated override",$AY$98,"eqy fund crncy",$B$13)/$BG$11</f>
        <v>#NAME?</v>
      </c>
      <c r="AD105" s="735" t="str">
        <f ca="1">IFERROR((AB105/AC105-1),"")</f>
        <v/>
      </c>
      <c r="AE105" s="158" t="e">
        <f t="array" aca="1" ref="AE105" ca="1">_xll.BDP($BD$1,"ud gp est ni","be997",RIGHT($BB33,4)&amp;"Y")/$BG$4</f>
        <v>#NAME?</v>
      </c>
      <c r="AF105" s="700" t="e">
        <f t="array" aca="1" ref="AF105" ca="1">_xll.BDP($BD$1,"cest eps gaap","best fperiod override","2FY","best consolidated override",$AY$98,"eqy fund crncy",$B$13)*1</f>
        <v>#NAME?</v>
      </c>
      <c r="AG105" s="699" t="e">
        <f ca="1">T33</f>
        <v>#NAME?</v>
      </c>
      <c r="AH105" s="736" t="e">
        <f t="array" aca="1" ref="AH105" ca="1">_xll.BDP($BD$1,"best eps gaap","best fperiod override","2FY","best consolidated override",$AY$98,"eqy fund crncy",$B$13)</f>
        <v>#NAME?</v>
      </c>
      <c r="AI105" s="735" t="str">
        <f ca="1">IFERROR((AG105/AH105-1),"")</f>
        <v/>
      </c>
      <c r="AJ105" s="700" t="e">
        <f t="array" aca="1" ref="AJ105" ca="1">_xll.BDP($BD$1,"cest eps","best fperiod override","2FY","best consolidated override",$AY$98,"eqy fund crncy",$B$13)*1</f>
        <v>#NAME?</v>
      </c>
      <c r="AK105" s="699" t="e">
        <f ca="1">DJ33</f>
        <v>#NAME?</v>
      </c>
      <c r="AL105" s="736" t="e">
        <f t="array" aca="1" ref="AL105" ca="1">_xll.BDP($BD$1,"best eps","best fperiod override","2FY","best consolidated override",$AY$98,"eqy fund crncy",$B$13)</f>
        <v>#NAME?</v>
      </c>
      <c r="AM105" s="735" t="str">
        <f ca="1">IFERROR((AK105/AL105-1),"")</f>
        <v/>
      </c>
      <c r="AN105" s="815" t="str">
        <f t="shared" ca="1" si="203"/>
        <v/>
      </c>
      <c r="AO105" s="870" t="str">
        <f t="shared" ca="1" si="203"/>
        <v/>
      </c>
      <c r="AP105" s="737" t="e">
        <f ca="1">AC33</f>
        <v>#NAME?</v>
      </c>
      <c r="AQ105" t="s">
        <v>463</v>
      </c>
      <c r="AU105" s="338" t="s">
        <v>1328</v>
      </c>
      <c r="AV105" s="821" t="e">
        <f t="array" aca="1" ref="AV105" ca="1">_xll.BDP($BD$1,"net debt to ebitda")*1</f>
        <v>#NAME?</v>
      </c>
      <c r="AW105" s="821" t="e">
        <f t="array" aca="1" ref="AW105" ca="1">_xll.BDP($AW$102&amp;" Index","net debt to ebitda")*1</f>
        <v>#NAME?</v>
      </c>
      <c r="AX105" s="821" t="e">
        <f t="array" aca="1" ref="AX105" ca="1">_xll.BDP($AX$101&amp;" Index","net debt to ebitda")*1</f>
        <v>#NAME?</v>
      </c>
      <c r="AY105" s="833" t="e">
        <f t="array" aca="1" ref="AY105" ca="1">_xll.BDP($AY$102&amp;" Index","net debt to ebitda")*1</f>
        <v>#NAME?</v>
      </c>
      <c r="BU105" s="61"/>
      <c r="BV105" s="61"/>
    </row>
    <row r="106" spans="1:88" ht="15.75" customHeight="1">
      <c r="A106" s="154" t="str">
        <f>A34</f>
        <v>FY3</v>
      </c>
      <c r="B106" s="74" t="e">
        <f t="array" aca="1" ref="B106" ca="1">_xll.BDP($BD$1,"cest sales","best fperiod override","3FY","best consolidated override",$AY$98,"eqy fund crncy",$B$13)/$BG$11</f>
        <v>#NAME?</v>
      </c>
      <c r="C106" s="687" t="e">
        <f ca="1">B34</f>
        <v>#NAME?</v>
      </c>
      <c r="D106" s="157" t="e">
        <f t="array" aca="1" ref="D106" ca="1">_xll.BDP($BD$1,"best sales","best fperiod override","3FY","best consolidated override",$AY$98,"eqy fund crncy",$B$13)/$BG$11</f>
        <v>#NAME?</v>
      </c>
      <c r="E106" s="735" t="str">
        <f ca="1">IFERROR((C106/D106-1),"")</f>
        <v/>
      </c>
      <c r="F106" s="74" t="e">
        <f t="array" aca="1" ref="F106" ca="1">_xll.BDP($BD$1,"cest ebitda","best fperiod override","3FY","best consolidated override",$AY$98,"eqy fund crncy",$B$13)/$BG$11</f>
        <v>#NAME?</v>
      </c>
      <c r="G106" s="687" t="e">
        <f ca="1">CW34</f>
        <v>#NAME?</v>
      </c>
      <c r="H106" s="157" t="e">
        <f t="array" aca="1" ref="H106" ca="1">_xll.BDP($BD$1,"best ebitda","best fperiod override","3FY","best consolidated override",$AY$98,"eqy fund crncy",$B$13)/$BG$11</f>
        <v>#NAME?</v>
      </c>
      <c r="I106" s="735" t="str">
        <f ca="1">IFERROR((G106/H106-1),"")</f>
        <v/>
      </c>
      <c r="J106" s="815" t="str">
        <f ca="1">G34</f>
        <v/>
      </c>
      <c r="K106" s="784" t="str">
        <f ca="1">IFERROR(H106/$D106*100,"")</f>
        <v/>
      </c>
      <c r="L106" s="74" t="e">
        <f t="array" aca="1" ref="L106" ca="1">_xll.BDP($BD$1,"cest ebit","best fperiod override","3FY","best consolidated override",$AY$98,"eqy fund crncy",$B$13)/$BG$11</f>
        <v>#NAME?</v>
      </c>
      <c r="M106" s="687" t="e">
        <f ca="1">H34</f>
        <v>#NAME?</v>
      </c>
      <c r="N106" s="687" t="e">
        <f ca="1">W34</f>
        <v>#NAME?</v>
      </c>
      <c r="O106" s="157" t="e">
        <f t="array" aca="1" ref="O106" ca="1">_xll.BDP($BD$1,"best ebit","best fperiod override","3FY","best consolidated override",$AY$98,"eqy fund crncy",$B$13)/$BG$11</f>
        <v>#NAME?</v>
      </c>
      <c r="P106" s="735" t="str">
        <f ca="1">IFERROR((N106/O106-1),"")</f>
        <v/>
      </c>
      <c r="Q106" s="815" t="str">
        <f ca="1">I34</f>
        <v/>
      </c>
      <c r="R106" s="784" t="str">
        <f ca="1">IFERROR(O106/$D106*100,"")</f>
        <v/>
      </c>
      <c r="S106" s="749" t="e">
        <f t="array" aca="1" ref="S106" ca="1">_xll.BDP($BD$1,"cest ffo","best fperiod override","3FY","best consolidated override",$AY$98,"eqy fund crncy",$B$13)/$BG$11</f>
        <v>#NAME?</v>
      </c>
      <c r="T106" t="e">
        <f t="array" aca="1" ref="T106" ca="1">_xll.BDP($BD$1,"best ffo","best fperiod override","3FY","best consolidated override",$AY$98,"eqy fund crncy",$B$13)/$BG$11</f>
        <v>#NAME?</v>
      </c>
      <c r="U106" s="749" t="str">
        <f t="shared" ca="1" si="202"/>
        <v/>
      </c>
      <c r="V106" s="751" t="str">
        <f t="shared" ca="1" si="202"/>
        <v/>
      </c>
      <c r="W106" s="687" t="e">
        <f t="array" aca="1" ref="W106" ca="1">_xll.BDP($BD$1,"cest netincme g","best fperiod override","3FY","best consolidated override",$AY$98,"eqy fund crncy",$B$13)/$BG$11</f>
        <v>#NAME?</v>
      </c>
      <c r="X106" s="687" t="e">
        <f t="array" aca="1" ref="X106" ca="1">_xll.BDP($BD$1,"ud gp est ni gaap","eqy fund per=A","eqy fund year",RIGHT($BB$34,4))/$BG$4</f>
        <v>#NAME?</v>
      </c>
      <c r="Y106" s="157" t="e">
        <f t="array" aca="1" ref="Y106" ca="1">_xll.BDP($BD$1,"best net gaap","best fperiod override","3FY","best consolidated override",$AY$98,"eqy fund crncy",$B$13)/$BG$11</f>
        <v>#NAME?</v>
      </c>
      <c r="Z106" s="735" t="str">
        <f ca="1">IFERROR((X106/Y106-1),"")</f>
        <v/>
      </c>
      <c r="AA106" s="74" t="e">
        <f t="array" aca="1" ref="AA106" ca="1">_xll.BDP($BD$1,"cest net income","best fperiod override","3FY","best consolidated override",$AY$98,"eqy fund crncy",$B$13)/$BG$11</f>
        <v>#NAME?</v>
      </c>
      <c r="AB106" s="687" t="e">
        <f t="array" aca="1" ref="AB106" ca="1">_xll.BDP($BD$1,"ud gp est co ni","eqy fund per=A","eqy fund year",RIGHT($BB$34,4))/$BG$4</f>
        <v>#NAME?</v>
      </c>
      <c r="AC106" s="157" t="e">
        <f t="array" aca="1" ref="AC106" ca="1">_xll.BDP($BD$1,"best net income","best fperiod override","3FY","best consolidated override",$AY$98,"eqy fund crncy",$B$13)/$BG$11</f>
        <v>#NAME?</v>
      </c>
      <c r="AD106" s="735" t="str">
        <f ca="1">IFERROR((AB106/AC106-1),"")</f>
        <v/>
      </c>
      <c r="AE106" s="158" t="e">
        <f t="array" aca="1" ref="AE106" ca="1">_xll.BDP($BD$1,"ud gp est ni","be997",RIGHT($BB34,4)&amp;"Y")/$BG$4</f>
        <v>#NAME?</v>
      </c>
      <c r="AF106" s="700" t="e">
        <f t="array" aca="1" ref="AF106" ca="1">_xll.BDP($BD$1,"cest eps gaap","best fperiod override","3FY","best consolidated override",$AY$98,"eqy fund crncy",$B$13)*1</f>
        <v>#NAME?</v>
      </c>
      <c r="AG106" s="699" t="e">
        <f ca="1">T34</f>
        <v>#NAME?</v>
      </c>
      <c r="AH106" s="736" t="e">
        <f t="array" aca="1" ref="AH106" ca="1">_xll.BDP($BD$1,"best eps gaap","best fperiod override","3FY","best consolidated override",$AY$98,"eqy fund crncy",$B$13)</f>
        <v>#NAME?</v>
      </c>
      <c r="AI106" s="735" t="str">
        <f ca="1">IFERROR((AG106/AH106-1),"")</f>
        <v/>
      </c>
      <c r="AJ106" s="700" t="e">
        <f t="array" aca="1" ref="AJ106" ca="1">_xll.BDP($BD$1,"cest eps","best fperiod override","3FY","best consolidated override",$AY$98,"eqy fund crncy",$B$13)*1</f>
        <v>#NAME?</v>
      </c>
      <c r="AK106" s="699" t="e">
        <f ca="1">DJ34</f>
        <v>#NAME?</v>
      </c>
      <c r="AL106" s="736" t="e">
        <f t="array" aca="1" ref="AL106" ca="1">_xll.BDP($BD$1,"best eps","best fperiod override","3FY","best consolidated override",$AY$98,"eqy fund crncy",$B$13)</f>
        <v>#NAME?</v>
      </c>
      <c r="AM106" s="735" t="str">
        <f ca="1">IFERROR((AK106/AL106-1),"")</f>
        <v/>
      </c>
      <c r="AN106" s="815" t="str">
        <f t="shared" ca="1" si="203"/>
        <v/>
      </c>
      <c r="AO106" s="870" t="str">
        <f t="shared" ca="1" si="203"/>
        <v/>
      </c>
      <c r="AP106" s="737" t="e">
        <f ca="1">AC34</f>
        <v>#NAME?</v>
      </c>
      <c r="AQ106" t="s">
        <v>463</v>
      </c>
      <c r="AU106" s="338" t="s">
        <v>1329</v>
      </c>
      <c r="AV106" s="821" t="str">
        <f ca="1">BV11</f>
        <v/>
      </c>
      <c r="AW106" s="821" t="e">
        <f t="array" aca="1" ref="AW106" ca="1">_xll.BDP($AW$102&amp;" Index","best ltg eps")*1</f>
        <v>#NAME?</v>
      </c>
      <c r="AX106" s="821" t="e">
        <f t="array" aca="1" ref="AX106" ca="1">_xll.BDP($AX$101&amp;" Index","best ltg eps")*1</f>
        <v>#NAME?</v>
      </c>
      <c r="AY106" s="833" t="e">
        <f t="array" aca="1" ref="AY106" ca="1">_xll.BDP($AY$102&amp;" Index","best ltg eps")*1</f>
        <v>#NAME?</v>
      </c>
      <c r="BU106" s="61"/>
      <c r="BV106" s="61"/>
    </row>
    <row r="107" spans="1:88" ht="15.75" customHeight="1">
      <c r="A107" s="154" t="str">
        <f>A35</f>
        <v>FY4</v>
      </c>
      <c r="B107" s="74" t="e">
        <f t="array" aca="1" ref="B107" ca="1">_xll.BDP($BD$1,"cest sales","best fperiod override","4FY","best consolidated override",$AY$98,"eqy fund crncy",$B$13)/$BG$11</f>
        <v>#NAME?</v>
      </c>
      <c r="C107" s="687" t="e">
        <f ca="1">B35</f>
        <v>#NAME?</v>
      </c>
      <c r="D107" s="157" t="e">
        <f t="array" aca="1" ref="D107" ca="1">_xll.BDP($BD$1,"best sales","best fperiod override","4FY","best consolidated override",$AY$98,"eqy fund crncy",$B$13)/$BG$11</f>
        <v>#NAME?</v>
      </c>
      <c r="E107" s="735" t="str">
        <f ca="1">IFERROR((C107/D107-1),"")</f>
        <v/>
      </c>
      <c r="F107" s="74" t="e">
        <f t="array" aca="1" ref="F107" ca="1">_xll.BDP($BD$1,"cest ebitda","best fperiod override","4FY","best consolidated override",$AY$98,"eqy fund crncy",$B$13)/$BG$11</f>
        <v>#NAME?</v>
      </c>
      <c r="G107" s="687" t="e">
        <f ca="1">CW35</f>
        <v>#NAME?</v>
      </c>
      <c r="H107" s="157" t="e">
        <f t="array" aca="1" ref="H107" ca="1">_xll.BDP($BD$1,"best ebitda","best fperiod override","4FY","best consolidated override",$AY$98,"eqy fund crncy",$B$13)/$BG$11</f>
        <v>#NAME?</v>
      </c>
      <c r="I107" s="735" t="str">
        <f ca="1">IFERROR((G107/H107-1),"")</f>
        <v/>
      </c>
      <c r="J107" s="815" t="str">
        <f ca="1">G35</f>
        <v/>
      </c>
      <c r="K107" s="784" t="str">
        <f ca="1">IFERROR(H107/$D107*100,"")</f>
        <v/>
      </c>
      <c r="L107" s="74" t="e">
        <f t="array" aca="1" ref="L107" ca="1">_xll.BDP($BD$1,"cest ebit","best fperiod override","4FY","best consolidated override",$AY$98,"eqy fund crncy",$B$13)/$BG$11</f>
        <v>#NAME?</v>
      </c>
      <c r="M107" s="687" t="e">
        <f ca="1">H35</f>
        <v>#NAME?</v>
      </c>
      <c r="N107" s="687" t="e">
        <f ca="1">W35</f>
        <v>#NAME?</v>
      </c>
      <c r="O107" s="157" t="e">
        <f t="array" aca="1" ref="O107" ca="1">_xll.BDP($BD$1,"best ebit","best fperiod override","4FY","best consolidated override",$AY$98,"eqy fund crncy",$B$13)/$BG$11</f>
        <v>#NAME?</v>
      </c>
      <c r="P107" s="735" t="str">
        <f ca="1">IFERROR((N107/O107-1),"")</f>
        <v/>
      </c>
      <c r="Q107" s="815" t="str">
        <f ca="1">I35</f>
        <v/>
      </c>
      <c r="R107" s="1005" t="str">
        <f ca="1">IFERROR(O107/$D107*100,"")</f>
        <v/>
      </c>
      <c r="S107" s="749" t="e">
        <f t="array" aca="1" ref="S107" ca="1">_xll.BDP($BD$1,"cest ffo","best fperiod override","4FY","best consolidated override",$AY$98,"eqy fund crncy",$B$13)/$BG$11</f>
        <v>#NAME?</v>
      </c>
      <c r="T107" t="e">
        <f t="array" aca="1" ref="T107" ca="1">_xll.BDP($BD$1,"best ffo","best fperiod override","4FY","best consolidated override",$AY$98,"eqy fund crncy",$B$13)/$BG$11</f>
        <v>#NAME?</v>
      </c>
      <c r="U107" s="749" t="str">
        <f t="shared" ca="1" si="202"/>
        <v/>
      </c>
      <c r="V107" s="751" t="str">
        <f t="shared" ca="1" si="202"/>
        <v/>
      </c>
      <c r="W107" s="687" t="e">
        <f t="array" aca="1" ref="W107" ca="1">_xll.BDP($BD$1,"cest netincme g","best fperiod override","4FY","best consolidated override",$AY$98,"eqy fund crncy",$B$13)/$BG$11</f>
        <v>#NAME?</v>
      </c>
      <c r="X107" s="687" t="e">
        <f t="array" aca="1" ref="X107" ca="1">_xll.BDP($BD$1,"ud gp est ni gaap","eqy fund per=A","eqy fund year",RIGHT($BB$35,4))/$BG$4</f>
        <v>#NAME?</v>
      </c>
      <c r="Y107" s="157" t="e">
        <f t="array" aca="1" ref="Y107" ca="1">_xll.BDP($BD$1,"best net gaap","best fperiod override","4FY","best consolidated override",$AY$98,"eqy fund crncy",$B$13)/$BG$11</f>
        <v>#NAME?</v>
      </c>
      <c r="Z107" s="735" t="str">
        <f ca="1">IFERROR((X107/Y107-1),"")</f>
        <v/>
      </c>
      <c r="AA107" s="74" t="e">
        <f t="array" aca="1" ref="AA107" ca="1">_xll.BDP($BD$1,"cest net income","best fperiod override","4FY","best consolidated override",$AY$98,"eqy fund crncy",$B$13)/$BG$11</f>
        <v>#NAME?</v>
      </c>
      <c r="AB107" s="687" t="e">
        <f t="array" aca="1" ref="AB107" ca="1">_xll.BDP($BD$1,"ud gp est co ni","eqy fund per=A","eqy fund year",RIGHT($BB$35,4))/$BG$4</f>
        <v>#NAME?</v>
      </c>
      <c r="AC107" s="157" t="e">
        <f t="array" aca="1" ref="AC107" ca="1">_xll.BDP($BD$1,"best net income","best fperiod override","4FY","best consolidated override",$AY$98,"eqy fund crncy",$B$13)/$BG$11</f>
        <v>#NAME?</v>
      </c>
      <c r="AD107" s="735" t="str">
        <f ca="1">IFERROR((AB107/AC107-1),"")</f>
        <v/>
      </c>
      <c r="AE107" s="158" t="e">
        <f t="array" aca="1" ref="AE107" ca="1">_xll.BDP($BD$1,"ud gp est ni","be997",RIGHT($BB35,4)&amp;"Y")/$BG$4</f>
        <v>#NAME?</v>
      </c>
      <c r="AF107" s="700" t="e">
        <f t="array" aca="1" ref="AF107" ca="1">_xll.BDP($BD$1,"cest eps gaap","best fperiod override","4FY","best consolidated override",$AY$98,"eqy fund crncy",$B$13)*1</f>
        <v>#NAME?</v>
      </c>
      <c r="AG107" s="699" t="e">
        <f ca="1">T35</f>
        <v>#NAME?</v>
      </c>
      <c r="AH107" s="736" t="e">
        <f t="array" aca="1" ref="AH107" ca="1">_xll.BDP($BD$1,"best eps gaap","best fperiod override","4FY","best consolidated override",$AY$98,"eqy fund crncy",$B$13)</f>
        <v>#NAME?</v>
      </c>
      <c r="AI107" s="735" t="str">
        <f ca="1">IFERROR((AG107/AH107-1),"")</f>
        <v/>
      </c>
      <c r="AJ107" s="700" t="e">
        <f t="array" aca="1" ref="AJ107" ca="1">_xll.BDP($BD$1,"cest eps","best fperiod override","4FY","best consolidated override",$AY$98,"eqy fund crncy",$B$13)*1</f>
        <v>#NAME?</v>
      </c>
      <c r="AK107" s="699" t="e">
        <f ca="1">DJ35</f>
        <v>#NAME?</v>
      </c>
      <c r="AL107" s="736" t="e">
        <f t="array" aca="1" ref="AL107" ca="1">_xll.BDP($BD$1,"best eps","best fperiod override","4FY","best consolidated override",$AY$98,"eqy fund crncy",$B$13)</f>
        <v>#NAME?</v>
      </c>
      <c r="AM107" s="735" t="str">
        <f ca="1">IFERROR((AK107/AL107-1),"")</f>
        <v/>
      </c>
      <c r="AN107" s="815" t="str">
        <f t="shared" ca="1" si="203"/>
        <v/>
      </c>
      <c r="AO107" s="870" t="str">
        <f t="shared" ca="1" si="203"/>
        <v/>
      </c>
      <c r="AP107" s="737" t="e">
        <f ca="1">AC35</f>
        <v>#NAME?</v>
      </c>
      <c r="AQ107" t="s">
        <v>463</v>
      </c>
      <c r="AU107" s="338" t="s">
        <v>639</v>
      </c>
      <c r="AV107" s="821" t="e">
        <f t="array" aca="1" ref="AV107" ca="1">_xll.BDP($BD$1,"EQY_DVD_YLD_12M")*1</f>
        <v>#NAME?</v>
      </c>
      <c r="AW107" s="821" t="e">
        <f t="array" aca="1" ref="AW107" ca="1">_xll.BDP($AW$102&amp;" Index","EQY_DVD_YLD_12M")*1</f>
        <v>#NAME?</v>
      </c>
      <c r="AX107" s="821" t="e">
        <f t="array" aca="1" ref="AX107" ca="1">_xll.BDP($AX$101&amp;" Index","EQY_DVD_YLD_12M")*1</f>
        <v>#NAME?</v>
      </c>
      <c r="AY107" s="833" t="e">
        <f t="array" aca="1" ref="AY107" ca="1">_xll.BDP($AY$102&amp;" Index","EQY_DVD_YLD_12M")*1</f>
        <v>#NAME?</v>
      </c>
      <c r="BK107" s="1"/>
      <c r="BT107" s="61"/>
      <c r="BU107" s="61"/>
      <c r="BV107" s="61"/>
    </row>
    <row r="108" spans="1:88" ht="15.75" customHeight="1">
      <c r="A108" s="167" t="str">
        <f>A36</f>
        <v>FY5</v>
      </c>
      <c r="B108" s="74" t="e">
        <f t="array" aca="1" ref="B108" ca="1">_xll.BDP($BD$1,"cest sales","best fperiod override","5FY","best consolidated override",$AY$98,"eqy fund crncy",$B$13)/$BG$11</f>
        <v>#NAME?</v>
      </c>
      <c r="C108" s="687" t="e">
        <f ca="1">B36</f>
        <v>#NAME?</v>
      </c>
      <c r="D108" s="157" t="e">
        <f t="array" aca="1" ref="D108" ca="1">_xll.BDP($BD$1,"best sales","best fperiod override","5FY","best consolidated override",$AY$98,"eqy fund crncy",$B$13)/$BG$11</f>
        <v>#NAME?</v>
      </c>
      <c r="E108" s="735" t="str">
        <f ca="1">IFERROR((C108/D108-1),"")</f>
        <v/>
      </c>
      <c r="F108" s="74" t="e">
        <f t="array" aca="1" ref="F108" ca="1">_xll.BDP($BD$1,"cest ebitda","best fperiod override","5FY","best consolidated override",$AY$98,"eqy fund crncy",$B$13)/$BG$11</f>
        <v>#NAME?</v>
      </c>
      <c r="G108" s="687" t="e">
        <f ca="1">CW36</f>
        <v>#NAME?</v>
      </c>
      <c r="H108" s="157" t="e">
        <f t="array" aca="1" ref="H108" ca="1">_xll.BDP($BD$1,"best ebitda","best fperiod override","5FY","best consolidated override",$AY$98,"eqy fund crncy",$B$13)/$BG$11</f>
        <v>#NAME?</v>
      </c>
      <c r="I108" s="735" t="str">
        <f ca="1">IFERROR((G108/H108-1),"")</f>
        <v/>
      </c>
      <c r="J108" s="815" t="str">
        <f ca="1">G36</f>
        <v/>
      </c>
      <c r="K108" s="784" t="str">
        <f ca="1">IFERROR(H108/$D108*100,"")</f>
        <v/>
      </c>
      <c r="L108" s="74" t="e">
        <f t="array" aca="1" ref="L108" ca="1">_xll.BDP($BD$1,"cest ebit","best fperiod override","5FY","best consolidated override",$AY$98,"eqy fund crncy",$B$13)/$BG$11</f>
        <v>#NAME?</v>
      </c>
      <c r="M108" s="687" t="e">
        <f ca="1">H36</f>
        <v>#NAME?</v>
      </c>
      <c r="N108" s="687" t="e">
        <f ca="1">W36</f>
        <v>#NAME?</v>
      </c>
      <c r="O108" s="157" t="e">
        <f t="array" aca="1" ref="O108" ca="1">_xll.BDP($BD$1,"best ebit","best fperiod override","5FY","best consolidated override",$AY$98,"eqy fund crncy",$B$13)/$BG$11</f>
        <v>#NAME?</v>
      </c>
      <c r="P108" s="735" t="str">
        <f ca="1">IFERROR((N108/O108-1),"")</f>
        <v/>
      </c>
      <c r="Q108" s="815" t="str">
        <f ca="1">I36</f>
        <v/>
      </c>
      <c r="R108" s="1005" t="str">
        <f ca="1">IFERROR(O108/$D108*100,"")</f>
        <v/>
      </c>
      <c r="S108" s="752" t="e">
        <f t="array" aca="1" ref="S108" ca="1">_xll.BDP($BD$1,"cest ffo","best fperiod override","5FY","best consolidated override",$AY$98,"eqy fund crncy",$B$13)/$BG$11</f>
        <v>#NAME?</v>
      </c>
      <c r="T108" s="753" t="e">
        <f t="array" aca="1" ref="T108" ca="1">_xll.BDP($BD$1,"best ffo","best fperiod override","5FY","best consolidated override",$AY$98,"eqy fund crncy",$B$13)/$BG$11</f>
        <v>#NAME?</v>
      </c>
      <c r="U108" s="752" t="str">
        <f t="shared" ca="1" si="202"/>
        <v/>
      </c>
      <c r="V108" s="754" t="str">
        <f t="shared" ca="1" si="202"/>
        <v/>
      </c>
      <c r="W108" s="688" t="e">
        <f t="array" aca="1" ref="W108" ca="1">_xll.BDP($BD$1,"cest netincme g","best fperiod override","5FY","best consolidated override",$AY$98,"eqy fund crncy",$B$13)/$BG$11</f>
        <v>#NAME?</v>
      </c>
      <c r="X108" s="688" t="e">
        <f t="array" aca="1" ref="X108" ca="1">_xll.BDP($BD$1,"ud gp est ni gaap","eqy fund per=A","eqy fund year",RIGHT($BB$36,4))/$BG$4</f>
        <v>#NAME?</v>
      </c>
      <c r="Y108" s="183" t="e">
        <f t="array" aca="1" ref="Y108" ca="1">_xll.BDP($BD$1,"best net gaap","best fperiod override","5FY","best consolidated override",$AY$98,"eqy fund crncy",$B$13)/$BG$11</f>
        <v>#NAME?</v>
      </c>
      <c r="Z108" s="738" t="str">
        <f ca="1">IFERROR((X108/Y108-1),"")</f>
        <v/>
      </c>
      <c r="AA108" s="74" t="e">
        <f t="array" aca="1" ref="AA108" ca="1">_xll.BDP($BD$1,"cest net income","best fperiod override","5FY","best consolidated override",$AY$98,"eqy fund crncy",$B$13)/$BG$11</f>
        <v>#NAME?</v>
      </c>
      <c r="AB108" s="687" t="e">
        <f t="array" aca="1" ref="AB108" ca="1">_xll.BDP($BD$1,"ud gp est co ni","eqy fund per=A","eqy fund year",RIGHT($BB$36,4))/$BG$4</f>
        <v>#NAME?</v>
      </c>
      <c r="AC108" s="157" t="e">
        <f t="array" aca="1" ref="AC108" ca="1">_xll.BDP($BD$1,"best net income","best fperiod override","5FY","best consolidated override",$AY$98,"eqy fund crncy",$B$13)/$BG$11</f>
        <v>#NAME?</v>
      </c>
      <c r="AD108" s="735" t="str">
        <f ca="1">IFERROR((AB108/AC108-1),"")</f>
        <v/>
      </c>
      <c r="AE108" s="158" t="e">
        <f t="array" aca="1" ref="AE108" ca="1">_xll.BDP($BD$1,"ud gp est ni","be997",RIGHT($BB36,4)&amp;"Y")/$BG$4</f>
        <v>#NAME?</v>
      </c>
      <c r="AF108" s="700" t="e">
        <f t="array" aca="1" ref="AF108" ca="1">_xll.BDP($BD$1,"cest eps gaap","best fperiod override","5FY","best consolidated override",$AY$98,"eqy fund crncy",$B$13)*1</f>
        <v>#NAME?</v>
      </c>
      <c r="AG108" s="699" t="e">
        <f ca="1">T36</f>
        <v>#NAME?</v>
      </c>
      <c r="AH108" s="736" t="e">
        <f t="array" aca="1" ref="AH108" ca="1">_xll.BDP($BD$1,"best eps gaap","best fperiod override","5FY","best consolidated override",$AY$98,"eqy fund crncy",$B$13)</f>
        <v>#NAME?</v>
      </c>
      <c r="AI108" s="735" t="str">
        <f ca="1">IFERROR((AG108/AH108-1),"")</f>
        <v/>
      </c>
      <c r="AJ108" s="700" t="e">
        <f t="array" aca="1" ref="AJ108" ca="1">_xll.BDP($BD$1,"cest eps","best fperiod override","5FY","best consolidated override",$AY$98,"eqy fund crncy",$B$13)*1</f>
        <v>#NAME?</v>
      </c>
      <c r="AK108" s="699" t="e">
        <f ca="1">DJ36</f>
        <v>#NAME?</v>
      </c>
      <c r="AL108" s="736" t="e">
        <f t="array" aca="1" ref="AL108" ca="1">_xll.BDP($BD$1,"best eps","best fperiod override","5FY","best consolidated override",$AY$98,"eqy fund crncy",$B$13)</f>
        <v>#NAME?</v>
      </c>
      <c r="AM108" s="735" t="str">
        <f ca="1">IFERROR((AK108/AL108-1),"")</f>
        <v/>
      </c>
      <c r="AN108" s="815" t="str">
        <f t="shared" ca="1" si="203"/>
        <v/>
      </c>
      <c r="AO108" s="870" t="str">
        <f t="shared" ca="1" si="203"/>
        <v/>
      </c>
      <c r="AP108" s="737" t="e">
        <f ca="1">AC36</f>
        <v>#NAME?</v>
      </c>
      <c r="AQ108" t="s">
        <v>463</v>
      </c>
      <c r="AU108" s="338" t="s">
        <v>515</v>
      </c>
      <c r="AV108" s="821" t="e">
        <f t="array" aca="1" ref="AV108" ca="1">_xll.BDP($BD$1,"pe ratio")*1</f>
        <v>#NAME?</v>
      </c>
      <c r="AW108" s="821" t="e">
        <f t="array" aca="1" ref="AW108" ca="1">_xll.BDP($AW$102&amp;" Index","pe ratio")*1</f>
        <v>#NAME?</v>
      </c>
      <c r="AX108" s="821" t="e">
        <f t="array" aca="1" ref="AX108" ca="1">_xll.BDP($AX$101&amp;" Index","pe ratio")*1</f>
        <v>#NAME?</v>
      </c>
      <c r="AY108" s="833" t="e">
        <f t="array" aca="1" ref="AY108" ca="1">_xll.BDP($AY$102&amp;" Index","pe ratio")*1</f>
        <v>#NAME?</v>
      </c>
      <c r="BE108" s="919"/>
      <c r="BK108" s="1"/>
      <c r="BT108" s="61"/>
      <c r="BU108" s="61"/>
      <c r="BV108" s="61"/>
      <c r="BW108" s="61"/>
      <c r="CD108" s="61"/>
      <c r="CE108" s="61"/>
      <c r="CI108" s="61"/>
      <c r="CJ108" s="61"/>
    </row>
    <row r="109" spans="1:88" ht="15.75" customHeight="1">
      <c r="A109" s="154" t="s">
        <v>807</v>
      </c>
      <c r="B109" s="846" t="str">
        <f ca="1">IFERROR(((B104-B30)/ABS(B30))*100,"")</f>
        <v/>
      </c>
      <c r="C109" s="846" t="str">
        <f ca="1">IFERROR(((C104-B30)/ABS(B30))*100,"")</f>
        <v/>
      </c>
      <c r="D109" s="846" t="str">
        <f ca="1">IFERROR(((D104-B30)/ABS(B30))*100,"")</f>
        <v/>
      </c>
      <c r="E109" s="85"/>
      <c r="F109" s="881"/>
      <c r="G109" s="846" t="str">
        <f ca="1">IFERROR(((G104-F30)/ABS(F30))*100,"")</f>
        <v/>
      </c>
      <c r="H109" s="846" t="str">
        <f ca="1">IFERROR(((H104-U30)/ABS(U30))*100,"")</f>
        <v/>
      </c>
      <c r="I109" s="106"/>
      <c r="J109" s="85"/>
      <c r="K109" s="85"/>
      <c r="L109" s="881"/>
      <c r="M109" s="846" t="str">
        <f ca="1">IFERROR(((M104-H30)/ABS(H30))*100,"")</f>
        <v/>
      </c>
      <c r="N109" s="846" t="str">
        <f ca="1">IFERROR(((N104-W30)/ABS(W30))*100,"")</f>
        <v/>
      </c>
      <c r="O109" s="846" t="str">
        <f ca="1">IFERROR(((O104-H30)/ABS(H30))*100,"")</f>
        <v/>
      </c>
      <c r="P109" s="106"/>
      <c r="Q109" s="87"/>
      <c r="R109" s="106"/>
      <c r="S109" s="267" t="str">
        <f ca="1">IF(U14="FFO",(S104-U30)/ABS(U30)*100,"")</f>
        <v/>
      </c>
      <c r="T109" s="268" t="str">
        <f ca="1">IF(U14="FFO",(T104-U30)/ABS(U30)*100,"")</f>
        <v/>
      </c>
      <c r="U109" s="43"/>
      <c r="V109" s="748"/>
      <c r="W109" s="846" t="str">
        <f ca="1">IFERROR(((W104-R30)/ABS(R30))*100,"")</f>
        <v/>
      </c>
      <c r="X109" s="846" t="str">
        <f ca="1">IFERROR(((X104-R30)/ABS(R30))*100,"")</f>
        <v/>
      </c>
      <c r="Y109" s="846" t="str">
        <f ca="1">IFERROR(((Y104-R30)/ABS(R30))*100,"")</f>
        <v/>
      </c>
      <c r="Z109" s="106"/>
      <c r="AA109" s="881" t="str">
        <f ca="1">IFERROR(((AA104-AX85)/ABS(AX85))*100,"")</f>
        <v/>
      </c>
      <c r="AB109" s="846" t="str">
        <f ca="1">IFERROR(((AB104-AX85)/ABS(AX85))*100,"")</f>
        <v/>
      </c>
      <c r="AC109" s="846" t="str">
        <f ca="1">IFERROR(((AC104-AX85)/ABS(AX85))*100,"")</f>
        <v/>
      </c>
      <c r="AD109" s="106"/>
      <c r="AE109" s="846" t="str">
        <f ca="1">IFERROR(((AE104-AY85)/ABS(AY85))*100,"")</f>
        <v/>
      </c>
      <c r="AF109" s="881" t="str">
        <f ca="1">IFERROR(((AF104-T30)/ABS(T30))*100,"")</f>
        <v/>
      </c>
      <c r="AG109" s="846" t="str">
        <f ca="1">IFERROR(((AG104-T30)/ABS(T30))*100,"")</f>
        <v/>
      </c>
      <c r="AH109" s="846" t="str">
        <f ca="1">IFERROR(((AH104-T30)/ABS(T30))*100,"")</f>
        <v/>
      </c>
      <c r="AI109" s="106"/>
      <c r="AJ109" s="881" t="str">
        <f ca="1">IFERROR(((AJ104-X30)/ABS(X30))*100,"")</f>
        <v/>
      </c>
      <c r="AK109" s="846" t="str">
        <f ca="1">IFERROR(((AK104-X30)/ABS(X30))*100,"")</f>
        <v/>
      </c>
      <c r="AL109" s="1006" t="str">
        <f ca="1">IFERROR(((AL104-X30)/ABS(X30))*100,"")</f>
        <v/>
      </c>
      <c r="AM109" s="85"/>
      <c r="AN109" s="1004"/>
      <c r="AO109" s="106"/>
      <c r="AP109" s="1007" t="str">
        <f ca="1">IFERROR(((AP104-AC30)/ABS(AC30))*100,"")</f>
        <v/>
      </c>
      <c r="AQ109" t="s">
        <v>463</v>
      </c>
      <c r="AU109" s="338" t="s">
        <v>637</v>
      </c>
      <c r="AV109" s="821" t="e">
        <f t="array" aca="1" ref="AV109" ca="1">_xll.BDP($BD$1,"ev to t12m sales")*1</f>
        <v>#NAME?</v>
      </c>
      <c r="AW109" s="821" t="e">
        <f t="array" aca="1" ref="AW109" ca="1">_xll.BDP($AW$102&amp;" Index","ev to t12m sales")*1</f>
        <v>#NAME?</v>
      </c>
      <c r="AX109" s="821" t="e">
        <f t="array" aca="1" ref="AX109" ca="1">_xll.BDP($AX$101&amp;" Index","ev to t12m sales")*1</f>
        <v>#NAME?</v>
      </c>
      <c r="AY109" s="833" t="e">
        <f t="array" aca="1" ref="AY109" ca="1">_xll.BDP($AY$102&amp;" Index","ev to t12m sales")*1</f>
        <v>#NAME?</v>
      </c>
      <c r="BK109" s="1"/>
      <c r="BT109" s="61"/>
      <c r="BU109" s="61"/>
      <c r="BV109" s="61"/>
      <c r="CJ109" s="61"/>
    </row>
    <row r="110" spans="1:88" ht="15.75" customHeight="1">
      <c r="A110" s="167" t="s">
        <v>810</v>
      </c>
      <c r="B110" s="837" t="str">
        <f ca="1">IFERROR(((B105-B104)/ABS(B104))*100,"")</f>
        <v/>
      </c>
      <c r="C110" s="837" t="str">
        <f ca="1">IFERROR(((C105-C104)/ABS(C104))*100,"")</f>
        <v/>
      </c>
      <c r="D110" s="837" t="str">
        <f ca="1">IFERROR(((D105-D104)/ABS(D104))*100,"")</f>
        <v/>
      </c>
      <c r="E110" s="90"/>
      <c r="F110" s="896"/>
      <c r="G110" s="837" t="str">
        <f ca="1">IFERROR(((G105-G104)/ABS(G104))*100,"")</f>
        <v/>
      </c>
      <c r="H110" s="837" t="str">
        <f ca="1">IFERROR(((H105-H104)/ABS(H104))*100,"")</f>
        <v/>
      </c>
      <c r="I110" s="113"/>
      <c r="J110" s="90"/>
      <c r="K110" s="90"/>
      <c r="L110" s="896"/>
      <c r="M110" s="837" t="str">
        <f ca="1">IFERROR(((M105-M104)/ABS(M104))*100,"")</f>
        <v/>
      </c>
      <c r="N110" s="837" t="str">
        <f ca="1">IFERROR(((N105-N104)/ABS(N104))*100,"")</f>
        <v/>
      </c>
      <c r="O110" s="837" t="str">
        <f ca="1">IFERROR(((O105-O104)/ABS(O104))*100,"")</f>
        <v/>
      </c>
      <c r="P110" s="113"/>
      <c r="Q110" s="91"/>
      <c r="R110" s="113"/>
      <c r="S110" s="752" t="str">
        <f ca="1">IFERROR(((S105-S104)/ABS(S104))*100,"")</f>
        <v/>
      </c>
      <c r="T110" s="753" t="str">
        <f ca="1">IFERROR(((T105-T104)/ABS(T104))*100,"")</f>
        <v/>
      </c>
      <c r="U110" s="752"/>
      <c r="V110" s="754"/>
      <c r="W110" s="837" t="str">
        <f ca="1">IFERROR(((W105-W104)/ABS(W104))*100,"")</f>
        <v/>
      </c>
      <c r="X110" s="837" t="str">
        <f ca="1">IFERROR(((X105-X104)/ABS(X104))*100,"")</f>
        <v/>
      </c>
      <c r="Y110" s="837" t="str">
        <f ca="1">IFERROR(((Y105-Y104)/ABS(Y104))*100,"")</f>
        <v/>
      </c>
      <c r="Z110" s="113"/>
      <c r="AA110" s="896" t="str">
        <f ca="1">IFERROR(((AA105-AA104)/ABS(AA104))*100,"")</f>
        <v/>
      </c>
      <c r="AB110" s="837" t="str">
        <f ca="1">IFERROR(((AB105-AB104)/ABS(AB104))*100,"")</f>
        <v/>
      </c>
      <c r="AC110" s="837" t="str">
        <f ca="1">IFERROR(((AC105-AC104)/ABS(AC104))*100,"")</f>
        <v/>
      </c>
      <c r="AD110" s="113"/>
      <c r="AE110" s="837" t="str">
        <f ca="1">IFERROR(((AE105-AE104)/ABS(AE104))*100,"")</f>
        <v/>
      </c>
      <c r="AF110" s="896" t="str">
        <f ca="1">IFERROR(((AF105-AF104)/ABS(AF104))*100,"")</f>
        <v/>
      </c>
      <c r="AG110" s="837" t="str">
        <f ca="1">IFERROR(((AG105-AG104)/ABS(AG104))*100,"")</f>
        <v/>
      </c>
      <c r="AH110" s="837" t="str">
        <f ca="1">IFERROR(((AH105-AH104)/ABS(AH104))*100,"")</f>
        <v/>
      </c>
      <c r="AI110" s="113"/>
      <c r="AJ110" s="896" t="str">
        <f ca="1">IFERROR(((AJ105-AJ104)/ABS(AJ104))*100,"")</f>
        <v/>
      </c>
      <c r="AK110" s="837" t="str">
        <f ca="1">IFERROR(((AK105-AK104)/ABS(AK104))*100,"")</f>
        <v/>
      </c>
      <c r="AL110" s="1008" t="str">
        <f ca="1">IFERROR(((AL105-AL104)/ABS(AL104))*100,"")</f>
        <v/>
      </c>
      <c r="AM110" s="90"/>
      <c r="AN110" s="796"/>
      <c r="AO110" s="113"/>
      <c r="AP110" s="981" t="str">
        <f ca="1">IFERROR(((AP105-AP104)/ABS(AP104))*100,"")</f>
        <v/>
      </c>
      <c r="AU110" s="338" t="s">
        <v>1330</v>
      </c>
      <c r="AV110" s="821" t="e">
        <f t="array" aca="1" ref="AV110" ca="1">_xll.BDP($BD$1,"ev to t12m ebit")*1</f>
        <v>#NAME?</v>
      </c>
      <c r="AW110" s="821" t="e">
        <f t="array" aca="1" ref="AW110" ca="1">_xll.BDP($AW$102&amp;" Index","ev to t12m ebit")*1</f>
        <v>#NAME?</v>
      </c>
      <c r="AX110" s="821" t="e">
        <f t="array" aca="1" ref="AX110" ca="1">_xll.BDP($AX$101&amp;" Index","ev to t12m ebit")*1</f>
        <v>#NAME?</v>
      </c>
      <c r="AY110" s="833" t="e">
        <f t="array" aca="1" ref="AY110" ca="1">_xll.BDP($AY$102&amp;" Index","ev to t12m ebit")*1</f>
        <v>#NAME?</v>
      </c>
      <c r="BK110" s="1"/>
    </row>
    <row r="111" spans="1:88" ht="15.75" customHeight="1">
      <c r="A111" s="154" t="s">
        <v>813</v>
      </c>
      <c r="B111" s="887"/>
      <c r="C111" s="775" t="str">
        <f ca="1">IFERROR((((C108/B30)^(1/5))-1)*100,"")</f>
        <v/>
      </c>
      <c r="D111" s="775" t="str">
        <f ca="1">IFERROR((((D108/B30)^(1/5))-1)*100,"")</f>
        <v/>
      </c>
      <c r="E111" s="86"/>
      <c r="F111" s="887"/>
      <c r="G111" s="775" t="str">
        <f ca="1">IFERROR((((G108/F30)^(1/5))-1)*100,"")</f>
        <v/>
      </c>
      <c r="H111" s="775" t="str">
        <f ca="1">IFERROR((((H108/U30)^(1/5))-1)*100,"")</f>
        <v/>
      </c>
      <c r="I111" s="111"/>
      <c r="J111" s="86"/>
      <c r="K111" s="86"/>
      <c r="L111" s="815"/>
      <c r="M111" s="805" t="str">
        <f ca="1">IFERROR((((M108/H30)^(1/5))-1)*100,"")</f>
        <v/>
      </c>
      <c r="N111" s="805" t="str">
        <f ca="1">IFERROR((((N108/W30)^(1/5))-1)*100,"")</f>
        <v/>
      </c>
      <c r="O111" s="805"/>
      <c r="P111" s="784"/>
      <c r="Q111" s="88"/>
      <c r="R111" s="111"/>
      <c r="S111" s="43" t="str">
        <f ca="1">IF(U14="FFO",IFERROR((((S108/U30)^(1/5))-1)*100,""),"")</f>
        <v/>
      </c>
      <c r="T111" s="747" t="str">
        <f ca="1">IF(U14="FFO",IFERROR((((T108/U30)^(1/5))-1)*100,""),"")</f>
        <v/>
      </c>
      <c r="U111" s="43"/>
      <c r="V111" s="748"/>
      <c r="W111" s="846" t="str">
        <f ca="1">IFERROR((((W108/R30)^(1/5))-1)*100,"")</f>
        <v/>
      </c>
      <c r="X111" s="846" t="str">
        <f ca="1">IFERROR((((X108/R30)^(1/5))-1)*100,"")</f>
        <v/>
      </c>
      <c r="Y111" s="846" t="str">
        <f ca="1">IFERROR((((Y108/R30)^(1/5))-1)*100,"")</f>
        <v/>
      </c>
      <c r="Z111" s="106"/>
      <c r="AA111" s="887" t="str">
        <f ca="1">IFERROR((((AA108/AX85)^(1/5))-1)*100,"")</f>
        <v/>
      </c>
      <c r="AB111" s="805" t="str">
        <f ca="1">IFERROR((((AB108/AX85)^(1/5))-1)*100,"")</f>
        <v/>
      </c>
      <c r="AC111" s="775" t="str">
        <f ca="1">IFERROR((((AC108/AX85)^(1/5))-1)*100,"")</f>
        <v/>
      </c>
      <c r="AD111" s="111"/>
      <c r="AE111" s="775" t="str">
        <f ca="1">IFERROR((((AE108/AY85)^(1/5))-1)*100,"")</f>
        <v/>
      </c>
      <c r="AF111" s="887" t="str">
        <f ca="1">IFERROR((((AF108/T30)^(1/5))-1)*100,"")</f>
        <v/>
      </c>
      <c r="AG111" s="775" t="str">
        <f ca="1">IFERROR((((AG108/T30)^(1/5))-1)*100,"")</f>
        <v/>
      </c>
      <c r="AH111" s="775" t="str">
        <f ca="1">IFERROR((((AH108/T30)^(1/5))-1)*100,"")</f>
        <v/>
      </c>
      <c r="AI111" s="111"/>
      <c r="AJ111" s="881" t="str">
        <f ca="1">IFERROR((((AJ108/X30)^(1/5))-1)*100,"")</f>
        <v/>
      </c>
      <c r="AK111" s="846" t="str">
        <f ca="1">IFERROR((((AK108/X30)^(1/5))-1)*100,"")</f>
        <v/>
      </c>
      <c r="AL111" s="846" t="str">
        <f ca="1">IFERROR((((AL108/X30)^(1/5))-1)*100,"")</f>
        <v/>
      </c>
      <c r="AM111" s="106"/>
      <c r="AN111" s="1004"/>
      <c r="AO111" s="111"/>
      <c r="AP111" s="973" t="str">
        <f ca="1">IFERROR((((AP108/AC30)^(1/5))-1)*100,"")</f>
        <v/>
      </c>
      <c r="AU111" s="338" t="s">
        <v>1331</v>
      </c>
      <c r="AV111" s="821" t="e">
        <f t="array" aca="1" ref="AV111" ca="1">_xll.BDP($BD$1,"current ev to t12m ebitda")*1</f>
        <v>#NAME?</v>
      </c>
      <c r="AW111" s="821" t="e">
        <f t="array" aca="1" ref="AW111" ca="1">_xll.BDP($AW$102&amp;" Index","current ev to t12m ebitda")*1</f>
        <v>#NAME?</v>
      </c>
      <c r="AX111" s="821" t="e">
        <f t="array" aca="1" ref="AX111" ca="1">_xll.BDP($AX$101&amp;" Index","current ev to t12m ebitda")*4</f>
        <v>#NAME?</v>
      </c>
      <c r="AY111" s="833" t="e">
        <f t="array" aca="1" ref="AY111" ca="1">_xll.BDP($AY$102&amp;" Index","current ev to t12m ebitda")*1</f>
        <v>#NAME?</v>
      </c>
      <c r="BK111" s="1"/>
    </row>
    <row r="112" spans="1:88" ht="15.75" customHeight="1">
      <c r="A112" s="154" t="s">
        <v>816</v>
      </c>
      <c r="B112" s="887"/>
      <c r="C112" s="775" t="str">
        <f ca="1">IFERROR((((C107/C104)^(1/3))-1)*100,"")</f>
        <v/>
      </c>
      <c r="D112" s="775" t="str">
        <f ca="1">IFERROR((((D107/D104)^(1/3))-1)*100,"")</f>
        <v/>
      </c>
      <c r="E112" s="86"/>
      <c r="F112" s="887"/>
      <c r="G112" s="775" t="str">
        <f ca="1">IFERROR((((G107/G104)^(1/3))-1)*100,"")</f>
        <v/>
      </c>
      <c r="H112" s="775" t="str">
        <f ca="1">IFERROR((((H107/H104)^(1/3))-1)*100,"")</f>
        <v/>
      </c>
      <c r="I112" s="111"/>
      <c r="J112" s="86"/>
      <c r="K112" s="86"/>
      <c r="L112" s="815"/>
      <c r="M112" s="805" t="str">
        <f ca="1">IFERROR((((M107/M104)^(1/3))-1)*100,"")</f>
        <v/>
      </c>
      <c r="N112" s="805" t="str">
        <f ca="1">IFERROR((((N107/N104)^(1/3))-1)*100,"")</f>
        <v/>
      </c>
      <c r="O112" s="805"/>
      <c r="P112" s="784"/>
      <c r="Q112" s="88"/>
      <c r="R112" s="111"/>
      <c r="S112" s="749" t="str">
        <f ca="1">IFERROR((((S107/S104)^(1/3))-1)*100,"")</f>
        <v/>
      </c>
      <c r="T112" t="str">
        <f ca="1">IFERROR((((T107/T104)^(1/3))-1)*100,"")</f>
        <v/>
      </c>
      <c r="U112" s="749"/>
      <c r="V112" s="751"/>
      <c r="W112" s="775" t="str">
        <f t="shared" ref="W112:Y113" ca="1" si="204">IFERROR((((W107/W104)^(1/3))-1)*100,"")</f>
        <v/>
      </c>
      <c r="X112" s="775" t="str">
        <f t="shared" ca="1" si="204"/>
        <v/>
      </c>
      <c r="Y112" s="775" t="str">
        <f t="shared" ca="1" si="204"/>
        <v/>
      </c>
      <c r="Z112" s="111"/>
      <c r="AA112" s="887" t="str">
        <f t="shared" ref="AA112:AC113" ca="1" si="205">IFERROR((((AA107/AA104)^(1/3))-1)*100,"")</f>
        <v/>
      </c>
      <c r="AB112" s="805" t="str">
        <f t="shared" ca="1" si="205"/>
        <v/>
      </c>
      <c r="AC112" s="775" t="str">
        <f t="shared" ca="1" si="205"/>
        <v/>
      </c>
      <c r="AD112" s="111"/>
      <c r="AE112" s="775" t="str">
        <f t="shared" ref="AE112:AH113" ca="1" si="206">IFERROR((((AE107/AE104)^(1/3))-1)*100,"")</f>
        <v/>
      </c>
      <c r="AF112" s="887" t="str">
        <f t="shared" ca="1" si="206"/>
        <v/>
      </c>
      <c r="AG112" s="775" t="str">
        <f t="shared" ca="1" si="206"/>
        <v/>
      </c>
      <c r="AH112" s="775" t="str">
        <f t="shared" ca="1" si="206"/>
        <v/>
      </c>
      <c r="AI112" s="111"/>
      <c r="AJ112" s="887" t="str">
        <f t="shared" ref="AJ112:AL113" ca="1" si="207">IFERROR((((AJ107/AJ104)^(1/3))-1)*100,"")</f>
        <v/>
      </c>
      <c r="AK112" s="775" t="str">
        <f t="shared" ca="1" si="207"/>
        <v/>
      </c>
      <c r="AL112" s="775" t="str">
        <f t="shared" ca="1" si="207"/>
        <v/>
      </c>
      <c r="AM112" s="111"/>
      <c r="AN112" s="815"/>
      <c r="AO112" s="111"/>
      <c r="AP112" s="973" t="str">
        <f ca="1">IFERROR((((AP107/AP104)^(1/3))-1)*100,"")</f>
        <v/>
      </c>
      <c r="AU112" s="338" t="s">
        <v>638</v>
      </c>
      <c r="AV112" s="821" t="e">
        <f t="array" aca="1" ref="AV112" ca="1">_xll.BDP($BD$1,"px to book ratio")*1</f>
        <v>#NAME?</v>
      </c>
      <c r="AW112" s="821" t="e">
        <f t="array" aca="1" ref="AW112" ca="1">_xll.BDP($AW$102&amp;" Index","px to book ratio")*1</f>
        <v>#NAME?</v>
      </c>
      <c r="AX112" s="821" t="e">
        <f t="array" aca="1" ref="AX112" ca="1">_xll.BDP($AX$101&amp;" Index","px to book ratio")*1</f>
        <v>#NAME?</v>
      </c>
      <c r="AY112" s="833" t="e">
        <f t="array" aca="1" ref="AY112" ca="1">_xll.BDP($AY$102&amp;" Index","px to book ratio")*1</f>
        <v>#NAME?</v>
      </c>
      <c r="BK112" s="1"/>
    </row>
    <row r="113" spans="1:63" ht="15.75" customHeight="1">
      <c r="A113" s="167" t="s">
        <v>819</v>
      </c>
      <c r="B113" s="896"/>
      <c r="C113" s="837" t="str">
        <f ca="1">IFERROR((((C108/C105)^(1/3))-1)*100,"")</f>
        <v/>
      </c>
      <c r="D113" s="837" t="str">
        <f ca="1">IFERROR((((D108/D105)^(1/3))-1)*100,"")</f>
        <v/>
      </c>
      <c r="E113" s="90"/>
      <c r="F113" s="896"/>
      <c r="G113" s="837" t="str">
        <f ca="1">IFERROR((((G108/G105)^(1/3))-1)*100,"")</f>
        <v/>
      </c>
      <c r="H113" s="837" t="str">
        <f ca="1">IFERROR((((H108/H105)^(1/3))-1)*100,"")</f>
        <v/>
      </c>
      <c r="I113" s="113"/>
      <c r="J113" s="90"/>
      <c r="K113" s="90"/>
      <c r="L113" s="796"/>
      <c r="M113" s="797" t="str">
        <f ca="1">IFERROR((((M108/M105)^(1/3))-1)*100,"")</f>
        <v/>
      </c>
      <c r="N113" s="797" t="str">
        <f ca="1">IFERROR((((N108/N105)^(1/3))-1)*100,"")</f>
        <v/>
      </c>
      <c r="O113" s="797"/>
      <c r="P113" s="798"/>
      <c r="Q113" s="91"/>
      <c r="R113" s="113"/>
      <c r="S113" s="752" t="str">
        <f ca="1">IFERROR((((S108/S105)^(1/3))-1)*100,"")</f>
        <v/>
      </c>
      <c r="T113" s="753" t="str">
        <f ca="1">IFERROR((((T108/T105)^(1/3))-1)*100,"")</f>
        <v/>
      </c>
      <c r="U113" s="752"/>
      <c r="V113" s="754"/>
      <c r="W113" s="837" t="str">
        <f t="shared" ca="1" si="204"/>
        <v/>
      </c>
      <c r="X113" s="837" t="str">
        <f t="shared" ca="1" si="204"/>
        <v/>
      </c>
      <c r="Y113" s="837" t="str">
        <f t="shared" ca="1" si="204"/>
        <v/>
      </c>
      <c r="Z113" s="113"/>
      <c r="AA113" s="896" t="str">
        <f t="shared" ca="1" si="205"/>
        <v/>
      </c>
      <c r="AB113" s="797" t="str">
        <f t="shared" ca="1" si="205"/>
        <v/>
      </c>
      <c r="AC113" s="837" t="str">
        <f t="shared" ca="1" si="205"/>
        <v/>
      </c>
      <c r="AD113" s="113"/>
      <c r="AE113" s="837" t="str">
        <f t="shared" ca="1" si="206"/>
        <v/>
      </c>
      <c r="AF113" s="896" t="str">
        <f t="shared" ca="1" si="206"/>
        <v/>
      </c>
      <c r="AG113" s="837" t="str">
        <f t="shared" ca="1" si="206"/>
        <v/>
      </c>
      <c r="AH113" s="837" t="str">
        <f t="shared" ca="1" si="206"/>
        <v/>
      </c>
      <c r="AI113" s="113"/>
      <c r="AJ113" s="896" t="str">
        <f t="shared" ca="1" si="207"/>
        <v/>
      </c>
      <c r="AK113" s="837" t="str">
        <f t="shared" ca="1" si="207"/>
        <v/>
      </c>
      <c r="AL113" s="837" t="str">
        <f t="shared" ca="1" si="207"/>
        <v/>
      </c>
      <c r="AM113" s="113"/>
      <c r="AN113" s="796"/>
      <c r="AO113" s="113"/>
      <c r="AP113" s="981" t="str">
        <f ca="1">IFERROR((((AP108/AP105)^(1/3))-1)*100,"")</f>
        <v/>
      </c>
      <c r="AU113" s="338" t="s">
        <v>1332</v>
      </c>
      <c r="AV113" s="821" t="str">
        <f ca="1">IFERROR(AV108/(AV106+AV107),"")</f>
        <v/>
      </c>
      <c r="AW113" s="821" t="str">
        <f ca="1">IFERROR(AW108/(AW106+AW107),"")</f>
        <v/>
      </c>
      <c r="AX113" s="919" t="str">
        <f ca="1">IFERROR(AX108/(AX106+AX107),"")</f>
        <v/>
      </c>
      <c r="AY113" s="833" t="str">
        <f ca="1">IFERROR(AY108/(AY106+AY107),"")</f>
        <v/>
      </c>
      <c r="BD113" s="47"/>
      <c r="BE113" s="51"/>
      <c r="BF113" s="51"/>
      <c r="BG113" s="892"/>
      <c r="BK113" s="1"/>
    </row>
    <row r="114" spans="1:63" ht="15.75" customHeight="1">
      <c r="A114" s="1"/>
      <c r="B114" s="97" t="s">
        <v>1333</v>
      </c>
      <c r="C114" s="97"/>
      <c r="D114" s="224" t="e">
        <f t="array" aca="1" ref="D114" ca="1">_xll.BDP($BD$1,"cest cur guidance avail")</f>
        <v>#NAME?</v>
      </c>
      <c r="E114" s="97" t="s">
        <v>1334</v>
      </c>
      <c r="F114" s="97"/>
      <c r="G114" s="97" t="e">
        <f t="array" aca="1" ref="G114" ca="1">_xll.BDP($BD$1,"cest last co guidance update dt")</f>
        <v>#NAME?</v>
      </c>
      <c r="AU114" s="338"/>
      <c r="AY114" s="765"/>
      <c r="BD114" s="47"/>
    </row>
  </sheetData>
  <mergeCells count="35">
    <mergeCell ref="I95:I96"/>
    <mergeCell ref="U8:V8"/>
    <mergeCell ref="J90:K90"/>
    <mergeCell ref="BJ10:BK10"/>
    <mergeCell ref="S93:T93"/>
    <mergeCell ref="W89:X89"/>
    <mergeCell ref="W92:X92"/>
    <mergeCell ref="O92:P92"/>
    <mergeCell ref="S92:T92"/>
    <mergeCell ref="S91:T91"/>
    <mergeCell ref="V93:X93"/>
    <mergeCell ref="S90:T90"/>
    <mergeCell ref="BG8:BH8"/>
    <mergeCell ref="O91:P91"/>
    <mergeCell ref="J95:J96"/>
    <mergeCell ref="I94:J94"/>
    <mergeCell ref="BG10:BH10"/>
    <mergeCell ref="O93:P93"/>
    <mergeCell ref="Z3:AA3"/>
    <mergeCell ref="BG9:BH9"/>
    <mergeCell ref="U7:V7"/>
    <mergeCell ref="W91:X91"/>
    <mergeCell ref="W90:X90"/>
    <mergeCell ref="O89:P89"/>
    <mergeCell ref="BG11:BH11"/>
    <mergeCell ref="O90:P90"/>
    <mergeCell ref="J92:K92"/>
    <mergeCell ref="AH3:AI3"/>
    <mergeCell ref="AH4:AI4"/>
    <mergeCell ref="AH1:AI1"/>
    <mergeCell ref="J89:K89"/>
    <mergeCell ref="Z2:AA2"/>
    <mergeCell ref="J91:K91"/>
    <mergeCell ref="AH2:AI2"/>
    <mergeCell ref="Z1:AA1"/>
  </mergeCells>
  <conditionalFormatting sqref="B32:B36">
    <cfRule type="containsErrors" dxfId="150" priority="371">
      <formula>ISERROR(B32)</formula>
    </cfRule>
  </conditionalFormatting>
  <conditionalFormatting sqref="B89:B92">
    <cfRule type="cellIs" dxfId="149" priority="152" operator="equal">
      <formula>0</formula>
    </cfRule>
  </conditionalFormatting>
  <conditionalFormatting sqref="B92">
    <cfRule type="containsErrors" dxfId="148" priority="151">
      <formula>ISERROR(B92)</formula>
    </cfRule>
  </conditionalFormatting>
  <conditionalFormatting sqref="B94">
    <cfRule type="cellIs" dxfId="147" priority="150" operator="equal">
      <formula>0</formula>
    </cfRule>
  </conditionalFormatting>
  <conditionalFormatting sqref="B94:B99">
    <cfRule type="containsErrors" dxfId="146" priority="134">
      <formula>ISERROR(B94)</formula>
    </cfRule>
  </conditionalFormatting>
  <conditionalFormatting sqref="B96">
    <cfRule type="cellIs" dxfId="145" priority="144" operator="equal">
      <formula>0</formula>
    </cfRule>
  </conditionalFormatting>
  <conditionalFormatting sqref="B98:B99">
    <cfRule type="cellIs" dxfId="144" priority="138" operator="equal">
      <formula>0</formula>
    </cfRule>
  </conditionalFormatting>
  <conditionalFormatting sqref="B31:C31">
    <cfRule type="cellIs" dxfId="143" priority="290" operator="equal">
      <formula>"#N/A N/A"</formula>
    </cfRule>
  </conditionalFormatting>
  <conditionalFormatting sqref="B104:D108">
    <cfRule type="containsErrors" dxfId="142" priority="98">
      <formula>ISERROR(B104)</formula>
    </cfRule>
  </conditionalFormatting>
  <conditionalFormatting sqref="B9:J9">
    <cfRule type="cellIs" dxfId="141" priority="1" operator="equal">
      <formula>"#N/A Invalid Security"</formula>
    </cfRule>
  </conditionalFormatting>
  <conditionalFormatting sqref="B10:J10">
    <cfRule type="cellIs" dxfId="140" priority="2" operator="equal">
      <formula>"#N/A Field Not Applicable"</formula>
    </cfRule>
  </conditionalFormatting>
  <conditionalFormatting sqref="D104:D108">
    <cfRule type="cellIs" dxfId="139" priority="190" operator="equal">
      <formula>"#N/A N/A"</formula>
    </cfRule>
  </conditionalFormatting>
  <conditionalFormatting sqref="E89:E96">
    <cfRule type="containsErrors" dxfId="138" priority="17">
      <formula>ISERROR(E89)</formula>
    </cfRule>
  </conditionalFormatting>
  <conditionalFormatting sqref="F31:F36">
    <cfRule type="cellIs" dxfId="137" priority="255" operator="equal">
      <formula>"#N/A N/A"</formula>
    </cfRule>
  </conditionalFormatting>
  <conditionalFormatting sqref="F32:F36">
    <cfRule type="containsErrors" dxfId="136" priority="159">
      <formula>ISERROR(F32)</formula>
    </cfRule>
  </conditionalFormatting>
  <conditionalFormatting sqref="F66">
    <cfRule type="containsErrors" dxfId="135" priority="116">
      <formula>ISERROR(F66)</formula>
    </cfRule>
  </conditionalFormatting>
  <conditionalFormatting sqref="F94:G94">
    <cfRule type="containsErrors" dxfId="134" priority="37">
      <formula>ISERROR(F94)</formula>
    </cfRule>
  </conditionalFormatting>
  <conditionalFormatting sqref="F96:H96">
    <cfRule type="containsErrors" dxfId="133" priority="182">
      <formula>ISERROR(F96)</formula>
    </cfRule>
  </conditionalFormatting>
  <conditionalFormatting sqref="F104:H108">
    <cfRule type="containsErrors" dxfId="132" priority="97">
      <formula>ISERROR(F104)</formula>
    </cfRule>
  </conditionalFormatting>
  <conditionalFormatting sqref="G17:G30 I17:I30">
    <cfRule type="cellIs" dxfId="131" priority="165" operator="equal">
      <formula>0</formula>
    </cfRule>
  </conditionalFormatting>
  <conditionalFormatting sqref="G51:G66">
    <cfRule type="cellIs" dxfId="130" priority="15" operator="equal">
      <formula>0</formula>
    </cfRule>
  </conditionalFormatting>
  <conditionalFormatting sqref="H31">
    <cfRule type="cellIs" dxfId="129" priority="288" operator="equal">
      <formula>"#N/A N/A"</formula>
    </cfRule>
  </conditionalFormatting>
  <conditionalFormatting sqref="H32:H36">
    <cfRule type="containsErrors" dxfId="128" priority="254">
      <formula>ISERROR(H32)</formula>
    </cfRule>
  </conditionalFormatting>
  <conditionalFormatting sqref="H104:H108">
    <cfRule type="cellIs" dxfId="127" priority="189" operator="equal">
      <formula>"#N/A N/A"</formula>
    </cfRule>
  </conditionalFormatting>
  <conditionalFormatting sqref="I95">
    <cfRule type="cellIs" dxfId="126" priority="180" operator="equal">
      <formula>"#N/A Field Not Applicable"</formula>
    </cfRule>
  </conditionalFormatting>
  <conditionalFormatting sqref="J51:J66">
    <cfRule type="cellIs" dxfId="125" priority="55" operator="equal">
      <formula>0</formula>
    </cfRule>
  </conditionalFormatting>
  <conditionalFormatting sqref="J95">
    <cfRule type="cellIs" dxfId="124" priority="183" operator="equal">
      <formula>0</formula>
    </cfRule>
  </conditionalFormatting>
  <conditionalFormatting sqref="K17:K30">
    <cfRule type="cellIs" dxfId="123" priority="365" operator="equal">
      <formula>0</formula>
    </cfRule>
  </conditionalFormatting>
  <conditionalFormatting sqref="K31:L31">
    <cfRule type="cellIs" dxfId="122" priority="266" operator="equal">
      <formula>"#N/A N/A"</formula>
    </cfRule>
  </conditionalFormatting>
  <conditionalFormatting sqref="K43:M47 O44:Q47">
    <cfRule type="containsErrors" dxfId="121" priority="121">
      <formula>ISERROR(K43)</formula>
    </cfRule>
  </conditionalFormatting>
  <conditionalFormatting sqref="L10:O10 AY32:AY36">
    <cfRule type="cellIs" dxfId="120" priority="303" operator="equal">
      <formula>"#N/A Field Not Applicable"</formula>
    </cfRule>
  </conditionalFormatting>
  <conditionalFormatting sqref="L104:O108">
    <cfRule type="containsErrors" dxfId="119" priority="92">
      <formula>ISERROR(L104)</formula>
    </cfRule>
  </conditionalFormatting>
  <conditionalFormatting sqref="L9:R9">
    <cfRule type="cellIs" dxfId="118" priority="30" operator="equal">
      <formula>"#N/A Invalid Security"</formula>
    </cfRule>
  </conditionalFormatting>
  <conditionalFormatting sqref="M51:M66">
    <cfRule type="cellIs" dxfId="117" priority="24" operator="equal">
      <formula>0</formula>
    </cfRule>
  </conditionalFormatting>
  <conditionalFormatting sqref="M89:M92">
    <cfRule type="containsErrors" dxfId="116" priority="6">
      <formula>ISERROR(M89)</formula>
    </cfRule>
  </conditionalFormatting>
  <conditionalFormatting sqref="M104:O108">
    <cfRule type="cellIs" dxfId="115" priority="93" operator="equal">
      <formula>"#N/A N/A"</formula>
    </cfRule>
  </conditionalFormatting>
  <conditionalFormatting sqref="N95:N96">
    <cfRule type="containsErrors" dxfId="114" priority="21">
      <formula>ISERROR(N95)</formula>
    </cfRule>
  </conditionalFormatting>
  <conditionalFormatting sqref="O31">
    <cfRule type="cellIs" dxfId="113" priority="286" operator="equal">
      <formula>"#N/A N/A"</formula>
    </cfRule>
  </conditionalFormatting>
  <conditionalFormatting sqref="O66">
    <cfRule type="containsErrors" dxfId="112" priority="4">
      <formula>ISERROR(O66)</formula>
    </cfRule>
  </conditionalFormatting>
  <conditionalFormatting sqref="O43:P43">
    <cfRule type="containsErrors" dxfId="111" priority="110">
      <formula>ISERROR(O43)</formula>
    </cfRule>
  </conditionalFormatting>
  <conditionalFormatting sqref="O96:V96">
    <cfRule type="containsErrors" dxfId="110" priority="156">
      <formula>ISERROR(O96)</formula>
    </cfRule>
  </conditionalFormatting>
  <conditionalFormatting sqref="Q71:Q86">
    <cfRule type="expression" dxfId="109" priority="47">
      <formula>AU71&gt;2</formula>
    </cfRule>
  </conditionalFormatting>
  <conditionalFormatting sqref="Q31:R31">
    <cfRule type="cellIs" dxfId="108" priority="284" operator="equal">
      <formula>"#N/A N/A"</formula>
    </cfRule>
  </conditionalFormatting>
  <conditionalFormatting sqref="R10">
    <cfRule type="cellIs" dxfId="107" priority="31" operator="equal">
      <formula>"#N/A Field Not Applicable"</formula>
    </cfRule>
  </conditionalFormatting>
  <conditionalFormatting sqref="R32:S36">
    <cfRule type="containsErrors" dxfId="106" priority="252">
      <formula>ISERROR(R32)</formula>
    </cfRule>
  </conditionalFormatting>
  <conditionalFormatting sqref="S71:S86">
    <cfRule type="cellIs" dxfId="105" priority="281" operator="equal">
      <formula>0</formula>
    </cfRule>
  </conditionalFormatting>
  <conditionalFormatting sqref="S31:T31">
    <cfRule type="cellIs" dxfId="104" priority="275" operator="equal">
      <formula>"#N/A Field Not Applicable"</formula>
    </cfRule>
  </conditionalFormatting>
  <conditionalFormatting sqref="S90:T90">
    <cfRule type="containsErrors" dxfId="103" priority="7">
      <formula>ISERROR(S90)</formula>
    </cfRule>
  </conditionalFormatting>
  <conditionalFormatting sqref="S104:T108">
    <cfRule type="containsErrors" dxfId="102" priority="88">
      <formula>ISERROR(S104)</formula>
    </cfRule>
  </conditionalFormatting>
  <conditionalFormatting sqref="T32:T36">
    <cfRule type="cellIs" dxfId="101" priority="251" operator="equal">
      <formula>"#N/A Field Not Applicable"</formula>
    </cfRule>
  </conditionalFormatting>
  <conditionalFormatting sqref="T51 T66">
    <cfRule type="cellIs" dxfId="100" priority="158" operator="equal">
      <formula>0</formula>
    </cfRule>
  </conditionalFormatting>
  <conditionalFormatting sqref="T51:T66">
    <cfRule type="expression" dxfId="99" priority="236">
      <formula>ISNUMBER(N51)</formula>
    </cfRule>
  </conditionalFormatting>
  <conditionalFormatting sqref="T31:U31">
    <cfRule type="cellIs" dxfId="98" priority="283" operator="equal">
      <formula>"#N/A N/A"</formula>
    </cfRule>
  </conditionalFormatting>
  <conditionalFormatting sqref="T6:V6">
    <cfRule type="cellIs" dxfId="97" priority="133" operator="equal">
      <formula>"#N/A Field Not Applicable"</formula>
    </cfRule>
  </conditionalFormatting>
  <conditionalFormatting sqref="U32:U36">
    <cfRule type="containsErrors" dxfId="96" priority="103">
      <formula>ISERROR(U32)</formula>
    </cfRule>
    <cfRule type="cellIs" dxfId="95" priority="175" operator="equal">
      <formula>"#N/A N/A"</formula>
    </cfRule>
  </conditionalFormatting>
  <conditionalFormatting sqref="U66">
    <cfRule type="containsErrors" dxfId="94" priority="115">
      <formula>ISERROR(U66)</formula>
    </cfRule>
  </conditionalFormatting>
  <conditionalFormatting sqref="U7:V7">
    <cfRule type="containsErrors" dxfId="93" priority="9">
      <formula>ISERROR(U7)</formula>
    </cfRule>
  </conditionalFormatting>
  <conditionalFormatting sqref="U32:V36">
    <cfRule type="cellIs" dxfId="92" priority="174" operator="equal">
      <formula>0</formula>
    </cfRule>
  </conditionalFormatting>
  <conditionalFormatting sqref="U16:X31">
    <cfRule type="cellIs" dxfId="91" priority="39" operator="equal">
      <formula>0</formula>
    </cfRule>
  </conditionalFormatting>
  <conditionalFormatting sqref="V71:V86">
    <cfRule type="cellIs" dxfId="90" priority="292" operator="equal">
      <formula>0</formula>
    </cfRule>
  </conditionalFormatting>
  <conditionalFormatting sqref="V93:X93">
    <cfRule type="cellIs" dxfId="89" priority="195" operator="notEqual">
      <formula>$BO$4</formula>
    </cfRule>
  </conditionalFormatting>
  <conditionalFormatting sqref="W32:W36">
    <cfRule type="containsErrors" dxfId="88" priority="250">
      <formula>ISERROR(W32)</formula>
    </cfRule>
  </conditionalFormatting>
  <conditionalFormatting sqref="W71:W85">
    <cfRule type="expression" dxfId="87" priority="27">
      <formula>S71=0</formula>
    </cfRule>
  </conditionalFormatting>
  <conditionalFormatting sqref="W86">
    <cfRule type="cellIs" dxfId="86" priority="26" operator="equal">
      <formula>0</formula>
    </cfRule>
  </conditionalFormatting>
  <conditionalFormatting sqref="W104:Y108">
    <cfRule type="containsErrors" dxfId="85" priority="87">
      <formula>ISERROR(W104)</formula>
    </cfRule>
  </conditionalFormatting>
  <conditionalFormatting sqref="X7:X9">
    <cfRule type="cellIs" dxfId="84" priority="148" operator="equal">
      <formula>"#N/A N/A"</formula>
    </cfRule>
  </conditionalFormatting>
  <conditionalFormatting sqref="X32:X36">
    <cfRule type="cellIs" dxfId="83" priority="167" operator="equal">
      <formula>"#N/A N/A"</formula>
    </cfRule>
    <cfRule type="cellIs" dxfId="82" priority="249" operator="equal">
      <formula>"#N/A Field Not Applicable"</formula>
    </cfRule>
  </conditionalFormatting>
  <conditionalFormatting sqref="X96 X98">
    <cfRule type="containsErrors" dxfId="81" priority="5">
      <formula>ISERROR(X96)</formula>
    </cfRule>
  </conditionalFormatting>
  <conditionalFormatting sqref="Y104:Y108">
    <cfRule type="cellIs" dxfId="80" priority="187" operator="equal">
      <formula>"#N/A N/A"</formula>
    </cfRule>
  </conditionalFormatting>
  <conditionalFormatting sqref="Z7:Z12">
    <cfRule type="cellIs" dxfId="79" priority="147" operator="equal">
      <formula>"#N/A Field Not Applicable"</formula>
    </cfRule>
  </conditionalFormatting>
  <conditionalFormatting sqref="I95 AA16:AA30">
    <cfRule type="containsErrors" dxfId="78" priority="348">
      <formula>ISERROR(I16)</formula>
    </cfRule>
  </conditionalFormatting>
  <conditionalFormatting sqref="AA32:AA36">
    <cfRule type="containsErrors" dxfId="77" priority="248">
      <formula>ISERROR(AA32)</formula>
    </cfRule>
  </conditionalFormatting>
  <conditionalFormatting sqref="AA66">
    <cfRule type="containsErrors" dxfId="76" priority="3">
      <formula>ISERROR(AA66)</formula>
    </cfRule>
  </conditionalFormatting>
  <conditionalFormatting sqref="AA71:AA86">
    <cfRule type="cellIs" dxfId="75" priority="282" operator="equal">
      <formula>0</formula>
    </cfRule>
  </conditionalFormatting>
  <conditionalFormatting sqref="AA89:AA90">
    <cfRule type="cellIs" dxfId="74" priority="131" operator="equal">
      <formula>0</formula>
    </cfRule>
  </conditionalFormatting>
  <conditionalFormatting sqref="AA91">
    <cfRule type="cellIs" dxfId="73" priority="196" operator="equal">
      <formula>"#N/A N/A"</formula>
    </cfRule>
  </conditionalFormatting>
  <conditionalFormatting sqref="AA92:AA93">
    <cfRule type="containsErrors" dxfId="72" priority="16">
      <formula>ISERROR(AA92)</formula>
    </cfRule>
    <cfRule type="cellIs" dxfId="71" priority="41" operator="equal">
      <formula>0</formula>
    </cfRule>
  </conditionalFormatting>
  <conditionalFormatting sqref="AA104:AC108">
    <cfRule type="containsErrors" dxfId="70" priority="89">
      <formula>ISERROR(AA104)</formula>
    </cfRule>
  </conditionalFormatting>
  <conditionalFormatting sqref="AB7:AB9">
    <cfRule type="cellIs" dxfId="69" priority="146" operator="equal">
      <formula>"#N/A N/A"</formula>
    </cfRule>
  </conditionalFormatting>
  <conditionalFormatting sqref="AB104:AC108">
    <cfRule type="cellIs" dxfId="68" priority="90" operator="equal">
      <formula>"#N/A N/A"</formula>
    </cfRule>
  </conditionalFormatting>
  <conditionalFormatting sqref="AC16:AC30">
    <cfRule type="cellIs" dxfId="67" priority="344" operator="equal">
      <formula>"#N/A Field Not Applicable"</formula>
    </cfRule>
    <cfRule type="containsErrors" dxfId="66" priority="345">
      <formula>ISERROR(AC16)</formula>
    </cfRule>
  </conditionalFormatting>
  <conditionalFormatting sqref="AC32:AC36">
    <cfRule type="cellIs" dxfId="65" priority="247" operator="equal">
      <formula>"#N/A Field Not Applicable"</formula>
    </cfRule>
  </conditionalFormatting>
  <conditionalFormatting sqref="AC96 AC98">
    <cfRule type="containsErrors" dxfId="64" priority="38">
      <formula>ISERROR(AC96)</formula>
    </cfRule>
  </conditionalFormatting>
  <conditionalFormatting sqref="AC32:AD36">
    <cfRule type="containsErrors" dxfId="63" priority="25">
      <formula>ISERROR(AC32)</formula>
    </cfRule>
  </conditionalFormatting>
  <conditionalFormatting sqref="AD7:AD12 AF7:AF12">
    <cfRule type="cellIs" dxfId="62" priority="132" operator="equal">
      <formula>"#N/A Field Not Applicable"</formula>
    </cfRule>
  </conditionalFormatting>
  <conditionalFormatting sqref="AD7:AD12">
    <cfRule type="cellIs" dxfId="61" priority="145" operator="equal">
      <formula>"#N/A N/A"</formula>
    </cfRule>
  </conditionalFormatting>
  <conditionalFormatting sqref="AD16:AD30">
    <cfRule type="cellIs" dxfId="60" priority="338" operator="equal">
      <formula>0</formula>
    </cfRule>
  </conditionalFormatting>
  <conditionalFormatting sqref="AE31">
    <cfRule type="containsErrors" dxfId="59" priority="157">
      <formula>ISERROR(AE31)</formula>
    </cfRule>
  </conditionalFormatting>
  <conditionalFormatting sqref="AE31:AE36">
    <cfRule type="cellIs" dxfId="58" priority="172" operator="equal">
      <formula>"#N/A Field Not Applicable"</formula>
    </cfRule>
  </conditionalFormatting>
  <conditionalFormatting sqref="AE92">
    <cfRule type="containsErrors" dxfId="57" priority="8">
      <formula>ISERROR(AE92)</formula>
    </cfRule>
  </conditionalFormatting>
  <conditionalFormatting sqref="AE104:AF108">
    <cfRule type="containsErrors" dxfId="56" priority="86">
      <formula>ISERROR(AE104)</formula>
    </cfRule>
  </conditionalFormatting>
  <conditionalFormatting sqref="AF7:AF11">
    <cfRule type="containsErrors" dxfId="55" priority="22">
      <formula>ISERROR(AF7)</formula>
    </cfRule>
  </conditionalFormatting>
  <conditionalFormatting sqref="AF31">
    <cfRule type="cellIs" dxfId="54" priority="171" operator="equal">
      <formula>0</formula>
    </cfRule>
  </conditionalFormatting>
  <conditionalFormatting sqref="AF104:AG108">
    <cfRule type="cellIs" dxfId="53" priority="95" operator="equal">
      <formula>"#N/A Field Not Applicable"</formula>
    </cfRule>
  </conditionalFormatting>
  <conditionalFormatting sqref="AF32:AJ36">
    <cfRule type="containsErrors" dxfId="52" priority="232">
      <formula>ISERROR(AF32)</formula>
    </cfRule>
  </conditionalFormatting>
  <conditionalFormatting sqref="AG51:AG66">
    <cfRule type="cellIs" dxfId="51" priority="111" operator="lessThanOrEqual">
      <formula>-100</formula>
    </cfRule>
    <cfRule type="cellIs" dxfId="50" priority="112" operator="between">
      <formula>0</formula>
      <formula>-100</formula>
    </cfRule>
  </conditionalFormatting>
  <conditionalFormatting sqref="AH66">
    <cfRule type="cellIs" dxfId="49" priority="45" operator="equal">
      <formula>"#N/A N/A"</formula>
    </cfRule>
  </conditionalFormatting>
  <conditionalFormatting sqref="AH104:AH108">
    <cfRule type="cellIs" dxfId="48" priority="185" operator="equal">
      <formula>"#N/A N/A"</formula>
    </cfRule>
  </conditionalFormatting>
  <conditionalFormatting sqref="AH1:AI4">
    <cfRule type="containsErrors" dxfId="47" priority="10">
      <formula>ISERROR(AH1)</formula>
    </cfRule>
  </conditionalFormatting>
  <conditionalFormatting sqref="AH7:AI12">
    <cfRule type="cellIs" dxfId="46" priority="123" operator="equal">
      <formula>"#N/A N/A"</formula>
    </cfRule>
  </conditionalFormatting>
  <conditionalFormatting sqref="AH31:AJ31">
    <cfRule type="cellIs" dxfId="45" priority="233" operator="equal">
      <formula>"#N/A N/A"</formula>
    </cfRule>
  </conditionalFormatting>
  <conditionalFormatting sqref="AI71:AI86">
    <cfRule type="cellIs" dxfId="44" priority="108" operator="lessThanOrEqual">
      <formula>-100</formula>
    </cfRule>
    <cfRule type="cellIs" dxfId="43" priority="109" operator="between">
      <formula>0</formula>
      <formula>-100</formula>
    </cfRule>
  </conditionalFormatting>
  <conditionalFormatting sqref="AJ51:AJ66">
    <cfRule type="containsErrors" dxfId="42" priority="23">
      <formula>ISERROR(AJ51)</formula>
    </cfRule>
  </conditionalFormatting>
  <conditionalFormatting sqref="AJ104:AJ108">
    <cfRule type="containsErrors" dxfId="41" priority="85">
      <formula>ISERROR(AJ104)</formula>
    </cfRule>
  </conditionalFormatting>
  <conditionalFormatting sqref="AJ104:AK108">
    <cfRule type="cellIs" dxfId="40" priority="96" operator="equal">
      <formula>"#N/A Field Not Applicable"</formula>
    </cfRule>
  </conditionalFormatting>
  <conditionalFormatting sqref="AL10">
    <cfRule type="cellIs" dxfId="39" priority="368" operator="equal">
      <formula>"#N/A N/A"</formula>
    </cfRule>
  </conditionalFormatting>
  <conditionalFormatting sqref="AL16:AL36">
    <cfRule type="cellIs" dxfId="38" priority="101" operator="lessThanOrEqual">
      <formula>-100</formula>
    </cfRule>
    <cfRule type="cellIs" dxfId="37" priority="102" operator="between">
      <formula>0</formula>
      <formula>-100</formula>
    </cfRule>
  </conditionalFormatting>
  <conditionalFormatting sqref="AL104:AL108">
    <cfRule type="cellIs" dxfId="36" priority="184" operator="equal">
      <formula>"#N/A N/A"</formula>
    </cfRule>
  </conditionalFormatting>
  <conditionalFormatting sqref="AL86:AN86">
    <cfRule type="cellIs" dxfId="35" priority="273" operator="equal">
      <formula>"#N/A N/A"</formula>
    </cfRule>
  </conditionalFormatting>
  <conditionalFormatting sqref="AM16:AM31">
    <cfRule type="cellIs" dxfId="34" priority="12" operator="lessThanOrEqual">
      <formula>-100</formula>
    </cfRule>
    <cfRule type="cellIs" dxfId="33" priority="13" operator="between">
      <formula>0</formula>
      <formula>-100</formula>
    </cfRule>
  </conditionalFormatting>
  <conditionalFormatting sqref="AM51:AM66">
    <cfRule type="cellIs" dxfId="32" priority="106" operator="lessThanOrEqual">
      <formula>-100</formula>
    </cfRule>
    <cfRule type="cellIs" dxfId="31" priority="107" operator="between">
      <formula>0</formula>
      <formula>-100</formula>
    </cfRule>
  </conditionalFormatting>
  <conditionalFormatting sqref="AN9:AN11">
    <cfRule type="containsErrors" dxfId="30" priority="11">
      <formula>ISERROR(AN9)</formula>
    </cfRule>
  </conditionalFormatting>
  <conditionalFormatting sqref="AN95:AP99">
    <cfRule type="containsErrors" dxfId="29" priority="125">
      <formula>ISERROR(AN95)</formula>
    </cfRule>
  </conditionalFormatting>
  <conditionalFormatting sqref="AO71:AO86">
    <cfRule type="cellIs" dxfId="28" priority="40" operator="greaterThan">
      <formula>AR71</formula>
    </cfRule>
  </conditionalFormatting>
  <conditionalFormatting sqref="AP52:AP66">
    <cfRule type="cellIs" dxfId="27" priority="119" operator="equal">
      <formula>0</formula>
    </cfRule>
  </conditionalFormatting>
  <conditionalFormatting sqref="AP86">
    <cfRule type="cellIs" dxfId="26" priority="279" operator="equal">
      <formula>"#N/A N/A"</formula>
    </cfRule>
  </conditionalFormatting>
  <conditionalFormatting sqref="AP104:AP108">
    <cfRule type="cellIs" dxfId="25" priority="84" operator="equal">
      <formula>"#N/A Field Not Applicable"</formula>
    </cfRule>
  </conditionalFormatting>
  <conditionalFormatting sqref="AQ66">
    <cfRule type="cellIs" dxfId="24" priority="117" operator="equal">
      <formula>0</formula>
    </cfRule>
  </conditionalFormatting>
  <conditionalFormatting sqref="AQ90:AQ94">
    <cfRule type="cellIs" dxfId="23" priority="136" operator="equal">
      <formula>0</formula>
    </cfRule>
  </conditionalFormatting>
  <conditionalFormatting sqref="AQ71:AS85">
    <cfRule type="cellIs" dxfId="22" priority="14" operator="equal">
      <formula>0</formula>
    </cfRule>
  </conditionalFormatting>
  <conditionalFormatting sqref="AU32:AU36">
    <cfRule type="containsErrors" dxfId="21" priority="264">
      <formula>ISERROR(AU32)</formula>
    </cfRule>
  </conditionalFormatting>
  <conditionalFormatting sqref="AU71:AU86">
    <cfRule type="cellIs" dxfId="20" priority="46" operator="equal">
      <formula>0</formula>
    </cfRule>
  </conditionalFormatting>
  <conditionalFormatting sqref="AU31:AW31">
    <cfRule type="cellIs" dxfId="19" priority="258" operator="equal">
      <formula>"#N/A N/A"</formula>
    </cfRule>
  </conditionalFormatting>
  <conditionalFormatting sqref="AV31:AW31">
    <cfRule type="cellIs" dxfId="18" priority="257" operator="equal">
      <formula>"#N/A Field Not Applicable"</formula>
    </cfRule>
  </conditionalFormatting>
  <conditionalFormatting sqref="AV32:AW36">
    <cfRule type="cellIs" dxfId="17" priority="259" operator="equal">
      <formula>"#N/A Field Not Applicable"</formula>
    </cfRule>
  </conditionalFormatting>
  <conditionalFormatting sqref="AV103:AY112">
    <cfRule type="containsErrors" dxfId="16" priority="122">
      <formula>ISERROR(AV103)</formula>
    </cfRule>
  </conditionalFormatting>
  <conditionalFormatting sqref="AX71:AY85">
    <cfRule type="containsErrors" dxfId="15" priority="237">
      <formula>ISERROR(AX71)</formula>
    </cfRule>
  </conditionalFormatting>
  <conditionalFormatting sqref="BC31">
    <cfRule type="cellIs" dxfId="14" priority="274" operator="equal">
      <formula>"#N/A Field Not Applicable"</formula>
    </cfRule>
  </conditionalFormatting>
  <conditionalFormatting sqref="BV104">
    <cfRule type="cellIs" dxfId="13" priority="271" operator="equal">
      <formula>"#N/A N/A"</formula>
    </cfRule>
  </conditionalFormatting>
  <conditionalFormatting sqref="CL16:CP31">
    <cfRule type="containsErrors" dxfId="12" priority="298">
      <formula>ISERROR(CL16)</formula>
    </cfRule>
  </conditionalFormatting>
  <conditionalFormatting sqref="CQ16:CQ31">
    <cfRule type="containsErrors" dxfId="11" priority="297">
      <formula>ISERROR(CQ16)</formula>
    </cfRule>
  </conditionalFormatting>
  <conditionalFormatting sqref="CS16:CS31">
    <cfRule type="containsErrors" dxfId="10" priority="296">
      <formula>ISERROR(CS16)</formula>
    </cfRule>
  </conditionalFormatting>
  <conditionalFormatting sqref="CT16:CT31">
    <cfRule type="containsErrors" dxfId="9" priority="295">
      <formula>ISERROR(CT16)</formula>
    </cfRule>
  </conditionalFormatting>
  <conditionalFormatting sqref="CV16:CV31">
    <cfRule type="containsErrors" dxfId="8" priority="294">
      <formula>ISERROR(CV16)</formula>
    </cfRule>
  </conditionalFormatting>
  <conditionalFormatting sqref="CW32:CW36">
    <cfRule type="containsErrors" dxfId="7" priority="170">
      <formula>ISERROR(CW32)</formula>
    </cfRule>
  </conditionalFormatting>
  <conditionalFormatting sqref="DN30">
    <cfRule type="cellIs" dxfId="6" priority="226" operator="equal">
      <formula>"#N/A Field Not Applicable"</formula>
    </cfRule>
    <cfRule type="containsErrors" dxfId="5" priority="227">
      <formula>ISERROR(DN30)</formula>
    </cfRule>
  </conditionalFormatting>
  <conditionalFormatting sqref="DP51:DP66">
    <cfRule type="cellIs" dxfId="4" priority="104" operator="lessThanOrEqual">
      <formula>-100</formula>
    </cfRule>
    <cfRule type="cellIs" dxfId="3" priority="105" operator="between">
      <formula>0</formula>
      <formula>-100</formula>
    </cfRule>
  </conditionalFormatting>
  <conditionalFormatting sqref="BY101 CB101 CE101:CE106 DZ15:DZ20">
    <cfRule type="cellIs" dxfId="2" priority="199" operator="equal">
      <formula>"#N/A Field Not Applicable"</formula>
    </cfRule>
  </conditionalFormatting>
  <conditionalFormatting sqref="DZ45:DZ49">
    <cfRule type="containsErrors" dxfId="1" priority="207">
      <formula>ISERROR(DZ45)</formula>
    </cfRule>
  </conditionalFormatting>
  <printOptions horizontalCentered="1"/>
  <pageMargins left="0.1" right="0.1" top="0.1" bottom="0" header="0.05" footer="0.05"/>
  <pageSetup paperSize="5" scale="37" orientation="landscape"/>
  <headerFooter>
    <oddFooter>&amp;LGP Annual Dupont&amp;R&amp;D&amp;T</oddFooter>
  </headerFooter>
  <rowBreaks count="1" manualBreakCount="1">
    <brk id="100" max="44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A82"/>
  <sheetViews>
    <sheetView topLeftCell="B2" zoomScaleNormal="100" workbookViewId="0">
      <selection activeCell="H51" sqref="H51"/>
    </sheetView>
  </sheetViews>
  <sheetFormatPr baseColWidth="10" defaultColWidth="9.1640625" defaultRowHeight="14"/>
  <cols>
    <col min="1" max="1" width="2.5" style="533" hidden="1" customWidth="1"/>
    <col min="2" max="2" width="10.6640625" style="532" bestFit="1" customWidth="1"/>
    <col min="3" max="3" width="5" style="532" hidden="1" customWidth="1"/>
    <col min="4" max="4" width="3.1640625" style="533" hidden="1" customWidth="1"/>
    <col min="5" max="5" width="7.5" style="533" customWidth="1"/>
    <col min="6" max="6" width="3.6640625" style="533" hidden="1" customWidth="1"/>
    <col min="7" max="7" width="3.1640625" style="533" hidden="1" customWidth="1"/>
    <col min="8" max="8" width="7.5" style="533" customWidth="1"/>
    <col min="9" max="9" width="3.6640625" style="533" hidden="1" customWidth="1"/>
    <col min="10" max="10" width="3.1640625" style="533" hidden="1" customWidth="1"/>
    <col min="11" max="11" width="7.5" style="533" customWidth="1"/>
    <col min="12" max="12" width="3.6640625" style="533" hidden="1" customWidth="1"/>
    <col min="13" max="13" width="3.1640625" style="533" hidden="1" customWidth="1"/>
    <col min="14" max="14" width="7.5" style="533" customWidth="1"/>
    <col min="15" max="15" width="3.6640625" style="533" hidden="1" customWidth="1"/>
    <col min="16" max="16" width="3.1640625" style="533" hidden="1" customWidth="1"/>
    <col min="17" max="17" width="7.5" style="533" customWidth="1"/>
    <col min="18" max="18" width="3.6640625" style="533" hidden="1" customWidth="1"/>
    <col min="19" max="19" width="3.1640625" style="533" hidden="1" customWidth="1"/>
    <col min="20" max="20" width="7.5" style="533" customWidth="1"/>
    <col min="21" max="21" width="3.6640625" style="533" hidden="1" customWidth="1"/>
    <col min="22" max="22" width="3.1640625" style="533" hidden="1" customWidth="1"/>
    <col min="23" max="23" width="7.5" style="533" customWidth="1"/>
    <col min="24" max="24" width="3.6640625" style="533" hidden="1" customWidth="1"/>
    <col min="25" max="25" width="3.1640625" style="533" hidden="1" customWidth="1"/>
    <col min="26" max="26" width="7.5" style="533" customWidth="1"/>
    <col min="27" max="27" width="3.6640625" style="533" hidden="1" customWidth="1"/>
    <col min="28" max="29" width="9.1640625" style="533" customWidth="1"/>
    <col min="30" max="16384" width="9.1640625" style="533"/>
  </cols>
  <sheetData>
    <row r="1" spans="2:27" hidden="1"/>
    <row r="2" spans="2:27">
      <c r="B2" s="562" t="s">
        <v>1335</v>
      </c>
      <c r="E2" s="565" t="s">
        <v>675</v>
      </c>
      <c r="F2" s="574"/>
      <c r="G2" s="563"/>
      <c r="H2" s="565" t="s">
        <v>1336</v>
      </c>
      <c r="I2" s="574"/>
      <c r="J2" s="563"/>
      <c r="K2" s="565" t="s">
        <v>1337</v>
      </c>
      <c r="L2" s="574"/>
      <c r="M2" s="563"/>
      <c r="N2" s="565" t="s">
        <v>675</v>
      </c>
      <c r="O2" s="574"/>
      <c r="P2" s="563"/>
      <c r="Q2" s="565" t="s">
        <v>1338</v>
      </c>
      <c r="R2" s="574"/>
      <c r="T2" s="576" t="s">
        <v>1339</v>
      </c>
      <c r="U2" s="577"/>
      <c r="V2" s="578"/>
      <c r="W2" s="576" t="s">
        <v>1340</v>
      </c>
      <c r="X2" s="577"/>
      <c r="Y2" s="578"/>
      <c r="Z2" s="576" t="s">
        <v>1341</v>
      </c>
      <c r="AA2" s="575"/>
    </row>
    <row r="3" spans="2:27">
      <c r="B3" s="564">
        <f>'quantitative answers'!P15</f>
        <v>0</v>
      </c>
      <c r="E3" s="565" t="s">
        <v>1342</v>
      </c>
      <c r="F3" s="574"/>
      <c r="G3" s="563"/>
      <c r="H3" s="565" t="s">
        <v>1343</v>
      </c>
      <c r="I3" s="574"/>
      <c r="J3" s="563"/>
      <c r="K3" s="565" t="s">
        <v>1344</v>
      </c>
      <c r="L3" s="574"/>
      <c r="M3" s="563"/>
      <c r="N3" s="565" t="s">
        <v>1344</v>
      </c>
      <c r="O3" s="574"/>
      <c r="P3" s="563"/>
      <c r="Q3" s="565" t="s">
        <v>675</v>
      </c>
      <c r="R3" s="574"/>
      <c r="T3" s="576" t="s">
        <v>675</v>
      </c>
      <c r="U3" s="577"/>
      <c r="V3" s="578"/>
      <c r="W3" s="576" t="s">
        <v>1345</v>
      </c>
      <c r="X3" s="577"/>
      <c r="Y3" s="578"/>
      <c r="Z3" s="576" t="s">
        <v>1336</v>
      </c>
      <c r="AA3" s="575"/>
    </row>
    <row r="4" spans="2:27" hidden="1"/>
    <row r="5" spans="2:27" hidden="1">
      <c r="B5" s="534">
        <f>'gp dupont'!A20</f>
        <v>41639</v>
      </c>
      <c r="C5" s="552" t="s">
        <v>1346</v>
      </c>
      <c r="E5" s="535">
        <f>'gp dupont'!AR75</f>
        <v>16.24696928291926</v>
      </c>
      <c r="F5" s="535"/>
      <c r="H5" s="535">
        <f>'gp dupont'!AB75</f>
        <v>-6.8624872132105867</v>
      </c>
      <c r="I5" s="535"/>
      <c r="K5" s="535">
        <f>IF('gp dupont'!C20=0,"",'gp dupont'!C20)</f>
        <v>39.825699999999998</v>
      </c>
      <c r="L5" s="535"/>
      <c r="N5" s="535">
        <f>'gp dupont'!G20</f>
        <v>10.960790159098755</v>
      </c>
      <c r="O5" s="535"/>
      <c r="Q5" s="535">
        <f>'gp dupont'!N75</f>
        <v>69.162223097018924</v>
      </c>
      <c r="R5" s="535"/>
      <c r="T5" s="535">
        <f>'gp dupont'!AK55</f>
        <v>-2.2487206098128332</v>
      </c>
      <c r="U5" s="535"/>
      <c r="W5" s="535">
        <f>IFERROR(PRODUCT(100,('gp dupont'!S20-'gp dupont'!S19)/'gp dupont'!S19),"")</f>
        <v>-9.6443945448631829E-2</v>
      </c>
      <c r="X5" s="535"/>
      <c r="Z5" s="535">
        <f>'gp dupont'!U75</f>
        <v>1.4584052468070419</v>
      </c>
      <c r="AA5" s="535"/>
    </row>
    <row r="6" spans="2:27">
      <c r="B6" s="579">
        <f>'gp dupont'!A21</f>
        <v>42004</v>
      </c>
      <c r="C6" s="580" t="s">
        <v>1346</v>
      </c>
      <c r="D6" s="578"/>
      <c r="E6" s="581">
        <f>'gp dupont'!AR76</f>
        <v>36.613023334626483</v>
      </c>
      <c r="F6" s="581"/>
      <c r="G6" s="578"/>
      <c r="H6" s="581">
        <f>'gp dupont'!AB76</f>
        <v>48.585135092729161</v>
      </c>
      <c r="I6" s="581"/>
      <c r="J6" s="578"/>
      <c r="K6" s="581">
        <f>IF('gp dupont'!C21=0,"",'gp dupont'!C21)</f>
        <v>43.779600000000002</v>
      </c>
      <c r="L6" s="581"/>
      <c r="M6" s="578"/>
      <c r="N6" s="581">
        <f>'gp dupont'!G21</f>
        <v>21.675990042159786</v>
      </c>
      <c r="O6" s="581"/>
      <c r="P6" s="578"/>
      <c r="Q6" s="581">
        <f>'gp dupont'!N76</f>
        <v>102.5563891460028</v>
      </c>
      <c r="R6" s="581"/>
      <c r="S6" s="578"/>
      <c r="T6" s="581">
        <f>'gp dupont'!AK56</f>
        <v>-1.2631412286257124</v>
      </c>
      <c r="U6" s="581"/>
      <c r="V6" s="578"/>
      <c r="W6" s="581">
        <f>IFERROR(PRODUCT(100,('gp dupont'!S21-'gp dupont'!S20)/'gp dupont'!S20),"")</f>
        <v>1.1516537129480704</v>
      </c>
      <c r="X6" s="581"/>
      <c r="Y6" s="578"/>
      <c r="Z6" s="581">
        <f>'gp dupont'!U76</f>
        <v>1.7001190611330079</v>
      </c>
      <c r="AA6" s="535"/>
    </row>
    <row r="7" spans="2:27">
      <c r="B7" s="579">
        <f>'gp dupont'!A22</f>
        <v>42369</v>
      </c>
      <c r="C7" s="580" t="s">
        <v>1346</v>
      </c>
      <c r="D7" s="578"/>
      <c r="E7" s="581">
        <f>'gp dupont'!AR77</f>
        <v>38.45242126650863</v>
      </c>
      <c r="F7" s="581"/>
      <c r="G7" s="578"/>
      <c r="H7" s="581">
        <f>'gp dupont'!AB77</f>
        <v>-7.8118358909917456</v>
      </c>
      <c r="I7" s="581"/>
      <c r="J7" s="578"/>
      <c r="K7" s="581">
        <f>IF('gp dupont'!C22=0,"",'gp dupont'!C22)</f>
        <v>48.807899999999997</v>
      </c>
      <c r="L7" s="581"/>
      <c r="M7" s="578"/>
      <c r="N7" s="581">
        <f>'gp dupont'!G22</f>
        <v>20.810638992457172</v>
      </c>
      <c r="O7" s="581"/>
      <c r="P7" s="578"/>
      <c r="Q7" s="581">
        <f>'gp dupont'!N77</f>
        <v>95.88011889035667</v>
      </c>
      <c r="R7" s="581"/>
      <c r="S7" s="578"/>
      <c r="T7" s="581">
        <f>'gp dupont'!AK57</f>
        <v>-1.7219561867018935</v>
      </c>
      <c r="U7" s="581"/>
      <c r="V7" s="578"/>
      <c r="W7" s="581">
        <f>IFERROR(PRODUCT(100,('gp dupont'!S22-'gp dupont'!S21)/'gp dupont'!S21),"")</f>
        <v>1.3716734943184832</v>
      </c>
      <c r="X7" s="581"/>
      <c r="Y7" s="578"/>
      <c r="Z7" s="581">
        <f>'gp dupont'!U77</f>
        <v>1.189269371087553</v>
      </c>
      <c r="AA7" s="535"/>
    </row>
    <row r="8" spans="2:27">
      <c r="B8" s="579">
        <f>'gp dupont'!A23</f>
        <v>42735</v>
      </c>
      <c r="C8" s="580" t="s">
        <v>1346</v>
      </c>
      <c r="D8" s="578"/>
      <c r="E8" s="581">
        <f>'gp dupont'!AR78</f>
        <v>45.102176140816205</v>
      </c>
      <c r="F8" s="581"/>
      <c r="G8" s="578"/>
      <c r="H8" s="581">
        <f>'gp dupont'!AB78</f>
        <v>7.4938574938574893</v>
      </c>
      <c r="I8" s="581"/>
      <c r="J8" s="578"/>
      <c r="K8" s="581">
        <f>IF('gp dupont'!C23=0,"",'gp dupont'!C23)</f>
        <v>51.010599999999997</v>
      </c>
      <c r="L8" s="581"/>
      <c r="M8" s="578"/>
      <c r="N8" s="581">
        <f>'gp dupont'!G23</f>
        <v>23.918481518481521</v>
      </c>
      <c r="O8" s="581"/>
      <c r="P8" s="578"/>
      <c r="Q8" s="581">
        <f>'gp dupont'!N78</f>
        <v>105.64465829100953</v>
      </c>
      <c r="R8" s="581"/>
      <c r="S8" s="578"/>
      <c r="T8" s="581">
        <f>'gp dupont'!AK58</f>
        <v>-1.7100485609908223</v>
      </c>
      <c r="U8" s="581"/>
      <c r="V8" s="578"/>
      <c r="W8" s="581">
        <f>IFERROR(PRODUCT(100,('gp dupont'!S23-'gp dupont'!S22)/'gp dupont'!S22),"")</f>
        <v>1.11677288994869E-2</v>
      </c>
      <c r="X8" s="581"/>
      <c r="Y8" s="578"/>
      <c r="Z8" s="581">
        <f>'gp dupont'!U78</f>
        <v>1.1937395937395938</v>
      </c>
      <c r="AA8" s="535"/>
    </row>
    <row r="9" spans="2:27">
      <c r="B9" s="579">
        <f>'gp dupont'!A24</f>
        <v>43100</v>
      </c>
      <c r="C9" s="580" t="s">
        <v>1346</v>
      </c>
      <c r="D9" s="578"/>
      <c r="E9" s="581">
        <f>'gp dupont'!AR79</f>
        <v>83.034063804412668</v>
      </c>
      <c r="F9" s="581"/>
      <c r="G9" s="578"/>
      <c r="H9" s="581">
        <f>'gp dupont'!AB79</f>
        <v>57.91808191808191</v>
      </c>
      <c r="I9" s="581"/>
      <c r="J9" s="578"/>
      <c r="K9" s="581">
        <f>IF('gp dupont'!C24=0,"",'gp dupont'!C24)</f>
        <v>57.124400000000001</v>
      </c>
      <c r="L9" s="581"/>
      <c r="M9" s="578"/>
      <c r="N9" s="581">
        <f>'gp dupont'!G24</f>
        <v>37.584790438354545</v>
      </c>
      <c r="O9" s="581"/>
      <c r="P9" s="578"/>
      <c r="Q9" s="581">
        <f>'gp dupont'!N79</f>
        <v>101.71546295506673</v>
      </c>
      <c r="R9" s="581"/>
      <c r="S9" s="578"/>
      <c r="T9" s="581">
        <f>'gp dupont'!AK59</f>
        <v>-1.0419305466411128</v>
      </c>
      <c r="U9" s="581"/>
      <c r="V9" s="578"/>
      <c r="W9" s="581">
        <f>IFERROR(PRODUCT(100,('gp dupont'!S24-'gp dupont'!S23)/'gp dupont'!S23),"")</f>
        <v>6.0110729950322241</v>
      </c>
      <c r="X9" s="581"/>
      <c r="Y9" s="578"/>
      <c r="Z9" s="581">
        <f>'gp dupont'!U79</f>
        <v>0.84921177155292382</v>
      </c>
      <c r="AA9" s="535"/>
    </row>
    <row r="10" spans="2:27">
      <c r="B10" s="579">
        <f>'gp dupont'!A25</f>
        <v>43465</v>
      </c>
      <c r="C10" s="580" t="s">
        <v>1346</v>
      </c>
      <c r="D10" s="578"/>
      <c r="E10" s="581">
        <f>'gp dupont'!AR80</f>
        <v>71.188433055131071</v>
      </c>
      <c r="F10" s="581"/>
      <c r="G10" s="578"/>
      <c r="H10" s="581">
        <f>'gp dupont'!AB80</f>
        <v>-11.391819968453992</v>
      </c>
      <c r="I10" s="581"/>
      <c r="J10" s="578"/>
      <c r="K10" s="581">
        <f>IF('gp dupont'!C25=0,"",'gp dupont'!C25)</f>
        <v>56.822400000000002</v>
      </c>
      <c r="L10" s="581"/>
      <c r="M10" s="578"/>
      <c r="N10" s="581">
        <f>'gp dupont'!G25</f>
        <v>35.741809708028086</v>
      </c>
      <c r="O10" s="581"/>
      <c r="P10" s="578"/>
      <c r="Q10" s="581">
        <f>'gp dupont'!N80</f>
        <v>90.503686027187129</v>
      </c>
      <c r="R10" s="581"/>
      <c r="S10" s="578"/>
      <c r="T10" s="581">
        <f>'gp dupont'!AK60</f>
        <v>-0.7178591213192993</v>
      </c>
      <c r="U10" s="581"/>
      <c r="V10" s="578"/>
      <c r="W10" s="581">
        <f>IFERROR(PRODUCT(100,('gp dupont'!S25-'gp dupont'!S24)/'gp dupont'!S24),"")</f>
        <v>3.8071815172139978</v>
      </c>
      <c r="X10" s="581"/>
      <c r="Y10" s="578"/>
      <c r="Z10" s="581">
        <f>'gp dupont'!U80</f>
        <v>1.2513897984982563</v>
      </c>
      <c r="AA10" s="535"/>
    </row>
    <row r="11" spans="2:27">
      <c r="B11" s="579">
        <f>'gp dupont'!A26</f>
        <v>43830</v>
      </c>
      <c r="C11" s="580" t="s">
        <v>1346</v>
      </c>
      <c r="D11" s="578"/>
      <c r="E11" s="581">
        <f>'gp dupont'!AR81</f>
        <v>55.705882352941181</v>
      </c>
      <c r="F11" s="581"/>
      <c r="G11" s="578"/>
      <c r="H11" s="581">
        <f>'gp dupont'!AB81</f>
        <v>-32.186400536119528</v>
      </c>
      <c r="I11" s="581"/>
      <c r="J11" s="578"/>
      <c r="K11" s="581">
        <f>IF('gp dupont'!C26=0,"",'gp dupont'!C26)</f>
        <v>55.813800000000001</v>
      </c>
      <c r="L11" s="581"/>
      <c r="M11" s="578"/>
      <c r="N11" s="581">
        <f>'gp dupont'!G26</f>
        <v>31.372141663976194</v>
      </c>
      <c r="O11" s="581"/>
      <c r="P11" s="578"/>
      <c r="Q11" s="581">
        <f>'gp dupont'!N81</f>
        <v>85.848263025074729</v>
      </c>
      <c r="R11" s="581"/>
      <c r="S11" s="578"/>
      <c r="T11" s="581">
        <f>'gp dupont'!AK61</f>
        <v>-0.91759884022694338</v>
      </c>
      <c r="U11" s="581"/>
      <c r="V11" s="578"/>
      <c r="W11" s="581">
        <f>IFERROR(PRODUCT(100,('gp dupont'!S26-'gp dupont'!S25)/'gp dupont'!S25),"")</f>
        <v>-1.8928877777004238</v>
      </c>
      <c r="X11" s="581"/>
      <c r="Y11" s="578"/>
      <c r="Z11" s="581">
        <f>'gp dupont'!U81</f>
        <v>0.70495093979421386</v>
      </c>
      <c r="AA11" s="535"/>
    </row>
    <row r="12" spans="2:27">
      <c r="B12" s="579">
        <f>'gp dupont'!A27</f>
        <v>44196</v>
      </c>
      <c r="C12" s="580" t="s">
        <v>1346</v>
      </c>
      <c r="D12" s="578"/>
      <c r="E12" s="581">
        <f>'gp dupont'!AR82</f>
        <v>77.715199970575682</v>
      </c>
      <c r="F12" s="581"/>
      <c r="G12" s="578"/>
      <c r="H12" s="581">
        <f>'gp dupont'!AB82</f>
        <v>21.737531408357782</v>
      </c>
      <c r="I12" s="581"/>
      <c r="J12" s="578"/>
      <c r="K12" s="581">
        <f>IF('gp dupont'!C27=0,"",'gp dupont'!C27)</f>
        <v>59.629399999999997</v>
      </c>
      <c r="L12" s="581"/>
      <c r="M12" s="578"/>
      <c r="N12" s="581">
        <f>'gp dupont'!G27</f>
        <v>38.982249557795598</v>
      </c>
      <c r="O12" s="581"/>
      <c r="P12" s="578"/>
      <c r="Q12" s="581">
        <f>'gp dupont'!N82</f>
        <v>97.487517451903727</v>
      </c>
      <c r="R12" s="581"/>
      <c r="S12" s="578"/>
      <c r="T12" s="581">
        <f>'gp dupont'!AK62</f>
        <v>-1.0525745994935991</v>
      </c>
      <c r="U12" s="581"/>
      <c r="V12" s="578"/>
      <c r="W12" s="581">
        <f>IFERROR(PRODUCT(100,('gp dupont'!S27-'gp dupont'!S26)/'gp dupont'!S26),"")</f>
        <v>0.74997173775522752</v>
      </c>
      <c r="X12" s="581"/>
      <c r="Y12" s="578"/>
      <c r="Z12" s="581">
        <f>'gp dupont'!U82</f>
        <v>0.97826914162763512</v>
      </c>
      <c r="AA12" s="535"/>
    </row>
    <row r="13" spans="2:27">
      <c r="B13" s="579">
        <f>'gp dupont'!A28</f>
        <v>44561</v>
      </c>
      <c r="C13" s="580" t="s">
        <v>1346</v>
      </c>
      <c r="D13" s="578"/>
      <c r="E13" s="581">
        <f>'gp dupont'!AR83</f>
        <v>87.519226199336202</v>
      </c>
      <c r="F13" s="581"/>
      <c r="G13" s="578"/>
      <c r="H13" s="581">
        <f>'gp dupont'!AB83</f>
        <v>72.799182700179657</v>
      </c>
      <c r="I13" s="581"/>
      <c r="J13" s="578"/>
      <c r="K13" s="581">
        <f>IF('gp dupont'!C28=0,"",'gp dupont'!C28)</f>
        <v>59.632199999999997</v>
      </c>
      <c r="L13" s="581"/>
      <c r="M13" s="578"/>
      <c r="N13" s="581">
        <f>'gp dupont'!G28</f>
        <v>44.728191891866643</v>
      </c>
      <c r="O13" s="581"/>
      <c r="P13" s="578"/>
      <c r="Q13" s="581">
        <f>'gp dupont'!N83</f>
        <v>100.72803874120908</v>
      </c>
      <c r="R13" s="581"/>
      <c r="S13" s="578"/>
      <c r="T13" s="581">
        <f>'gp dupont'!AK63</f>
        <v>-0.97134391774355722</v>
      </c>
      <c r="U13" s="581"/>
      <c r="V13" s="578"/>
      <c r="W13" s="581">
        <f>IFERROR(PRODUCT(100,('gp dupont'!S28-'gp dupont'!S27)/'gp dupont'!S27),"")</f>
        <v>1.8918893109268631</v>
      </c>
      <c r="X13" s="581"/>
      <c r="Y13" s="578"/>
      <c r="Z13" s="581">
        <f>'gp dupont'!U83</f>
        <v>0.71226763219390965</v>
      </c>
      <c r="AA13" s="535"/>
    </row>
    <row r="14" spans="2:27">
      <c r="B14" s="579">
        <f>'gp dupont'!A29</f>
        <v>44926</v>
      </c>
      <c r="C14" s="580" t="s">
        <v>1346</v>
      </c>
      <c r="D14" s="578"/>
      <c r="E14" s="581">
        <f>'gp dupont'!AR84</f>
        <v>94.225946395673617</v>
      </c>
      <c r="F14" s="581"/>
      <c r="G14" s="578"/>
      <c r="H14" s="581">
        <f>'gp dupont'!AB84</f>
        <v>-3.5269058864509026</v>
      </c>
      <c r="I14" s="581"/>
      <c r="J14" s="578"/>
      <c r="K14" s="581">
        <f>IF('gp dupont'!C29=0,"",'gp dupont'!C29)</f>
        <v>61.293599999999998</v>
      </c>
      <c r="L14" s="581"/>
      <c r="M14" s="578"/>
      <c r="N14" s="581">
        <f>'gp dupont'!G29</f>
        <v>43.867915392809223</v>
      </c>
      <c r="O14" s="581"/>
      <c r="P14" s="578"/>
      <c r="Q14" s="581">
        <f>'gp dupont'!N84</f>
        <v>92.531251182562414</v>
      </c>
      <c r="R14" s="581"/>
      <c r="S14" s="578"/>
      <c r="T14" s="581">
        <f>'gp dupont'!AK64</f>
        <v>-1.0191417435069441</v>
      </c>
      <c r="U14" s="581"/>
      <c r="V14" s="578"/>
      <c r="W14" s="581">
        <f>IFERROR(PRODUCT(100,('gp dupont'!S29-'gp dupont'!S28)/'gp dupont'!S28),"")</f>
        <v>0.19670026230607104</v>
      </c>
      <c r="X14" s="581"/>
      <c r="Y14" s="578"/>
      <c r="Z14" s="581">
        <f>'gp dupont'!U84</f>
        <v>0.93792798151811529</v>
      </c>
      <c r="AA14" s="535"/>
    </row>
    <row r="15" spans="2:27">
      <c r="B15" s="579">
        <f>'gp dupont'!A30</f>
        <v>45291</v>
      </c>
      <c r="C15" s="580" t="s">
        <v>1346</v>
      </c>
      <c r="D15" s="578"/>
      <c r="E15" s="581">
        <f>'gp dupont'!AR85</f>
        <v>69.51157828642522</v>
      </c>
      <c r="F15" s="581"/>
      <c r="G15" s="578"/>
      <c r="H15" s="581">
        <f>'gp dupont'!AB85</f>
        <v>-19.921700997413094</v>
      </c>
      <c r="I15" s="581"/>
      <c r="J15" s="578"/>
      <c r="K15" s="581">
        <f>IF('gp dupont'!C30=0,"",'gp dupont'!C30)</f>
        <v>64.918400000000005</v>
      </c>
      <c r="L15" s="581"/>
      <c r="M15" s="578"/>
      <c r="N15" s="581">
        <f>'gp dupont'!G30</f>
        <v>41.309327611762392</v>
      </c>
      <c r="O15" s="581"/>
      <c r="P15" s="578"/>
      <c r="Q15" s="581">
        <f>'gp dupont'!N85</f>
        <v>98.438885264548944</v>
      </c>
      <c r="R15" s="581"/>
      <c r="S15" s="578"/>
      <c r="T15" s="581">
        <f>'gp dupont'!AK65</f>
        <v>-0.37215001421856447</v>
      </c>
      <c r="U15" s="581"/>
      <c r="V15" s="578"/>
      <c r="W15" s="581">
        <f>IFERROR(PRODUCT(100,('gp dupont'!S30-'gp dupont'!S29)/'gp dupont'!S29),"")</f>
        <v>-3.1872104688388005</v>
      </c>
      <c r="X15" s="581"/>
      <c r="Y15" s="578"/>
      <c r="Z15" s="581">
        <f>'gp dupont'!U85</f>
        <v>1.1918211939978787</v>
      </c>
      <c r="AA15" s="535"/>
    </row>
    <row r="16" spans="2:27">
      <c r="E16" s="535"/>
      <c r="H16" s="535"/>
      <c r="K16" s="535"/>
      <c r="N16" s="535"/>
      <c r="Q16" s="535"/>
    </row>
    <row r="17" spans="2:27">
      <c r="E17" s="621" t="e">
        <f ca="1">B48</f>
        <v>#NAME?</v>
      </c>
    </row>
    <row r="19" spans="2:27">
      <c r="B19" s="534">
        <f t="shared" ref="B19:B28" si="0">B6</f>
        <v>42004</v>
      </c>
      <c r="C19" s="552" t="s">
        <v>1347</v>
      </c>
      <c r="E19" s="536">
        <f t="shared" ref="E19:E28" si="1">IFERROR(IF(IF((E6-E5)/E5&gt;99%,99%,(E6-E5)/E5)&lt;-99%,-99%,IF((E6-E5)/E5&gt;99%,99%,(E6-E5)/E5)),"")</f>
        <v>0.99</v>
      </c>
      <c r="F19" s="536"/>
      <c r="H19" s="536">
        <f t="shared" ref="H19:H28" si="2">IFERROR(IF(IF((H6-H5)/H5&gt;99%,99%,(H6-H5)/H5)&lt;-99%,-99%,IF((H6-H5)/H5&gt;99%,99%,(H6-H5)/H5)),"")</f>
        <v>-0.99</v>
      </c>
      <c r="I19" s="536"/>
      <c r="K19" s="536">
        <f t="shared" ref="K19:K28" si="3">IFERROR(IF(IF((K6-K5)/K5&gt;99%,99%,(K6-K5)/K5)&lt;-99%,-99%,IF((K6-K5)/K5&gt;99%,99%,(K6-K5)/K5)),"")</f>
        <v>9.9280113092802005E-2</v>
      </c>
      <c r="L19" s="536"/>
      <c r="N19" s="536">
        <f t="shared" ref="N19:N28" si="4">IFERROR(IF(IF((N6-N5)/N5&gt;99%,99%,(N6-N5)/N5)&lt;-99%,-99%,IF((N6-N5)/N5&gt;99%,99%,(N6-N5)/N5)),"")</f>
        <v>0.97759374347351635</v>
      </c>
      <c r="O19" s="536"/>
      <c r="Q19" s="536">
        <f t="shared" ref="Q19:Q28" si="5">IFERROR(IF(IF((Q6-Q5)/Q5&gt;99%,99%,(Q6-Q5)/Q5)&lt;-99%,-99%,IF((Q6-Q5)/Q5&gt;99%,99%,(Q6-Q5)/Q5)),"")</f>
        <v>0.48283823962887124</v>
      </c>
      <c r="R19" s="536"/>
      <c r="T19" s="536">
        <f t="shared" ref="T19:T28" si="6">IFERROR(IF(IF((T6-T5)/T5&gt;99%,99%,(T6-T5)/T5)&lt;-99%,-99%,IF((T6-T5)/T5&gt;99%,99%,(T6-T5)/T5)),"")</f>
        <v>-0.43828449692074156</v>
      </c>
      <c r="U19" s="536"/>
      <c r="W19" s="536">
        <f t="shared" ref="W19:W28" si="7">IFERROR(IF(IF((W6-W5)/W5&gt;99%,99%,(W6-W5)/W5)&lt;-99%,-99%,IF((W6-W5)/W5&gt;99%,99%,(W6-W5)/W5)),"")</f>
        <v>-0.99</v>
      </c>
      <c r="X19" s="536"/>
      <c r="Z19" s="536">
        <f t="shared" ref="Z19:Z28" si="8">IFERROR(IF(IF((Z6-Z5)/Z5&gt;99%,99%,(Z6-Z5)/Z5)&lt;-99%,-99%,IF((Z6-Z5)/Z5&gt;99%,99%,(Z6-Z5)/Z5)),"")</f>
        <v>0.16573844262776891</v>
      </c>
      <c r="AA19" s="536"/>
    </row>
    <row r="20" spans="2:27">
      <c r="B20" s="534">
        <f t="shared" si="0"/>
        <v>42369</v>
      </c>
      <c r="C20" s="552" t="s">
        <v>1347</v>
      </c>
      <c r="E20" s="536">
        <f t="shared" si="1"/>
        <v>5.0238897647727175E-2</v>
      </c>
      <c r="F20" s="536"/>
      <c r="H20" s="536">
        <f t="shared" si="2"/>
        <v>-0.99</v>
      </c>
      <c r="I20" s="536"/>
      <c r="K20" s="536">
        <f t="shared" si="3"/>
        <v>0.11485486390921786</v>
      </c>
      <c r="L20" s="536"/>
      <c r="N20" s="536">
        <f t="shared" si="4"/>
        <v>-3.9922100352487097E-2</v>
      </c>
      <c r="O20" s="536"/>
      <c r="Q20" s="536">
        <f t="shared" si="5"/>
        <v>-6.509853078135934E-2</v>
      </c>
      <c r="R20" s="536"/>
      <c r="T20" s="536">
        <f t="shared" si="6"/>
        <v>0.36323330097883683</v>
      </c>
      <c r="U20" s="536"/>
      <c r="W20" s="536">
        <f t="shared" si="7"/>
        <v>0.19104682153734676</v>
      </c>
      <c r="X20" s="536"/>
      <c r="Z20" s="536">
        <f t="shared" si="8"/>
        <v>-0.30047877335426737</v>
      </c>
      <c r="AA20" s="536"/>
    </row>
    <row r="21" spans="2:27">
      <c r="B21" s="534">
        <f t="shared" si="0"/>
        <v>42735</v>
      </c>
      <c r="C21" s="552" t="s">
        <v>1347</v>
      </c>
      <c r="E21" s="536">
        <f t="shared" si="1"/>
        <v>0.17293462037719307</v>
      </c>
      <c r="F21" s="536"/>
      <c r="H21" s="536">
        <f t="shared" si="2"/>
        <v>-0.99</v>
      </c>
      <c r="I21" s="536"/>
      <c r="K21" s="536">
        <f t="shared" si="3"/>
        <v>4.5129989202567625E-2</v>
      </c>
      <c r="L21" s="536"/>
      <c r="N21" s="536">
        <f t="shared" si="4"/>
        <v>0.14933912058879059</v>
      </c>
      <c r="O21" s="536"/>
      <c r="Q21" s="536">
        <f t="shared" si="5"/>
        <v>0.10184112737510333</v>
      </c>
      <c r="R21" s="536"/>
      <c r="T21" s="536">
        <f t="shared" si="6"/>
        <v>-6.9151734539066693E-3</v>
      </c>
      <c r="U21" s="536"/>
      <c r="W21" s="536">
        <f t="shared" si="7"/>
        <v>-0.99</v>
      </c>
      <c r="X21" s="536"/>
      <c r="Z21" s="536">
        <f t="shared" si="8"/>
        <v>3.7587974269890486E-3</v>
      </c>
      <c r="AA21" s="536"/>
    </row>
    <row r="22" spans="2:27">
      <c r="B22" s="534">
        <f t="shared" si="0"/>
        <v>43100</v>
      </c>
      <c r="C22" s="552" t="s">
        <v>1347</v>
      </c>
      <c r="E22" s="536">
        <f t="shared" si="1"/>
        <v>0.84102123022106612</v>
      </c>
      <c r="F22" s="536"/>
      <c r="H22" s="536">
        <f t="shared" si="2"/>
        <v>0.99</v>
      </c>
      <c r="I22" s="536"/>
      <c r="K22" s="536">
        <f t="shared" si="3"/>
        <v>0.11985352064080809</v>
      </c>
      <c r="L22" s="536"/>
      <c r="N22" s="536">
        <f t="shared" si="4"/>
        <v>0.5713702564819273</v>
      </c>
      <c r="O22" s="536"/>
      <c r="Q22" s="536">
        <f t="shared" si="5"/>
        <v>-3.7192560414360164E-2</v>
      </c>
      <c r="R22" s="536"/>
      <c r="T22" s="536">
        <f t="shared" si="6"/>
        <v>-0.39070119386702912</v>
      </c>
      <c r="U22" s="536"/>
      <c r="W22" s="536">
        <f t="shared" si="7"/>
        <v>0.99</v>
      </c>
      <c r="X22" s="536"/>
      <c r="Z22" s="536">
        <f t="shared" si="8"/>
        <v>-0.28861220989359793</v>
      </c>
      <c r="AA22" s="536"/>
    </row>
    <row r="23" spans="2:27">
      <c r="B23" s="534">
        <f t="shared" si="0"/>
        <v>43465</v>
      </c>
      <c r="C23" s="552" t="s">
        <v>1347</v>
      </c>
      <c r="E23" s="536">
        <f t="shared" si="1"/>
        <v>-0.14265989410302818</v>
      </c>
      <c r="F23" s="536"/>
      <c r="H23" s="536">
        <f t="shared" si="2"/>
        <v>-0.99</v>
      </c>
      <c r="I23" s="536"/>
      <c r="K23" s="536">
        <f t="shared" si="3"/>
        <v>-5.2867076065569105E-3</v>
      </c>
      <c r="L23" s="536"/>
      <c r="N23" s="536">
        <f t="shared" si="4"/>
        <v>-4.9035280197963632E-2</v>
      </c>
      <c r="O23" s="536"/>
      <c r="Q23" s="536">
        <f t="shared" si="5"/>
        <v>-0.11022686818849216</v>
      </c>
      <c r="R23" s="536"/>
      <c r="T23" s="536">
        <f t="shared" si="6"/>
        <v>-0.31102977676057919</v>
      </c>
      <c r="U23" s="536"/>
      <c r="W23" s="536">
        <f t="shared" si="7"/>
        <v>-0.36663861504253981</v>
      </c>
      <c r="X23" s="536"/>
      <c r="Z23" s="536">
        <f t="shared" si="8"/>
        <v>0.47358979281443964</v>
      </c>
      <c r="AA23" s="536"/>
    </row>
    <row r="24" spans="2:27">
      <c r="B24" s="534">
        <f t="shared" si="0"/>
        <v>43830</v>
      </c>
      <c r="C24" s="552" t="s">
        <v>1347</v>
      </c>
      <c r="E24" s="536">
        <f t="shared" si="1"/>
        <v>-0.2174868870930142</v>
      </c>
      <c r="F24" s="536"/>
      <c r="H24" s="536">
        <f t="shared" si="2"/>
        <v>0.99</v>
      </c>
      <c r="I24" s="536"/>
      <c r="K24" s="536">
        <f t="shared" si="3"/>
        <v>-1.7750042236864359E-2</v>
      </c>
      <c r="L24" s="536"/>
      <c r="N24" s="536">
        <f t="shared" si="4"/>
        <v>-0.1222564856046001</v>
      </c>
      <c r="O24" s="536"/>
      <c r="Q24" s="536">
        <f t="shared" si="5"/>
        <v>-5.1439043054157155E-2</v>
      </c>
      <c r="R24" s="536"/>
      <c r="T24" s="536">
        <f t="shared" si="6"/>
        <v>0.27824361768999673</v>
      </c>
      <c r="U24" s="536"/>
      <c r="W24" s="536">
        <f t="shared" si="7"/>
        <v>-0.99</v>
      </c>
      <c r="X24" s="536"/>
      <c r="Z24" s="536">
        <f t="shared" si="8"/>
        <v>-0.4366655852235668</v>
      </c>
      <c r="AA24" s="536"/>
    </row>
    <row r="25" spans="2:27">
      <c r="B25" s="534">
        <f t="shared" si="0"/>
        <v>44196</v>
      </c>
      <c r="C25" s="552" t="s">
        <v>1347</v>
      </c>
      <c r="E25" s="536">
        <f t="shared" si="1"/>
        <v>0.3950986267157196</v>
      </c>
      <c r="F25" s="536"/>
      <c r="H25" s="536">
        <f t="shared" si="2"/>
        <v>-0.99</v>
      </c>
      <c r="I25" s="536"/>
      <c r="K25" s="536">
        <f t="shared" si="3"/>
        <v>6.8363021331641932E-2</v>
      </c>
      <c r="L25" s="536"/>
      <c r="N25" s="536">
        <f t="shared" si="4"/>
        <v>0.24257533882546153</v>
      </c>
      <c r="O25" s="536"/>
      <c r="Q25" s="536">
        <f t="shared" si="5"/>
        <v>0.13557938176838105</v>
      </c>
      <c r="R25" s="536"/>
      <c r="T25" s="536">
        <f t="shared" si="6"/>
        <v>0.14709669776094431</v>
      </c>
      <c r="U25" s="536"/>
      <c r="W25" s="536">
        <f t="shared" si="7"/>
        <v>-0.99</v>
      </c>
      <c r="X25" s="536"/>
      <c r="Z25" s="536">
        <f t="shared" si="8"/>
        <v>0.38771237316629026</v>
      </c>
      <c r="AA25" s="536"/>
    </row>
    <row r="26" spans="2:27">
      <c r="B26" s="534">
        <f t="shared" si="0"/>
        <v>44561</v>
      </c>
      <c r="C26" s="552" t="s">
        <v>1347</v>
      </c>
      <c r="E26" s="536">
        <f t="shared" si="1"/>
        <v>0.12615326515884273</v>
      </c>
      <c r="F26" s="536"/>
      <c r="H26" s="536">
        <f t="shared" si="2"/>
        <v>0.99</v>
      </c>
      <c r="I26" s="536"/>
      <c r="K26" s="536">
        <f t="shared" si="3"/>
        <v>4.6956702566193518E-5</v>
      </c>
      <c r="L26" s="536"/>
      <c r="N26" s="536">
        <f t="shared" si="4"/>
        <v>0.14739894180688665</v>
      </c>
      <c r="O26" s="536"/>
      <c r="Q26" s="536">
        <f t="shared" si="5"/>
        <v>3.3240371424003969E-2</v>
      </c>
      <c r="R26" s="536"/>
      <c r="T26" s="536">
        <f t="shared" si="6"/>
        <v>-7.717332509175362E-2</v>
      </c>
      <c r="U26" s="536"/>
      <c r="W26" s="536">
        <f t="shared" si="7"/>
        <v>0.99</v>
      </c>
      <c r="X26" s="536"/>
      <c r="Z26" s="536">
        <f t="shared" si="8"/>
        <v>-0.27191035484483811</v>
      </c>
      <c r="AA26" s="536"/>
    </row>
    <row r="27" spans="2:27">
      <c r="B27" s="534">
        <f t="shared" si="0"/>
        <v>44926</v>
      </c>
      <c r="C27" s="552" t="s">
        <v>1347</v>
      </c>
      <c r="E27" s="536">
        <f t="shared" si="1"/>
        <v>7.6631392753199204E-2</v>
      </c>
      <c r="F27" s="536"/>
      <c r="H27" s="536">
        <f t="shared" si="2"/>
        <v>-0.99</v>
      </c>
      <c r="I27" s="536"/>
      <c r="K27" s="536">
        <f t="shared" si="3"/>
        <v>2.7860786621992824E-2</v>
      </c>
      <c r="L27" s="536"/>
      <c r="N27" s="536">
        <f t="shared" si="4"/>
        <v>-1.9233428910723584E-2</v>
      </c>
      <c r="O27" s="536"/>
      <c r="Q27" s="536">
        <f t="shared" si="5"/>
        <v>-8.137543092351758E-2</v>
      </c>
      <c r="R27" s="536"/>
      <c r="T27" s="536">
        <f t="shared" si="6"/>
        <v>4.9207932319606996E-2</v>
      </c>
      <c r="U27" s="536"/>
      <c r="W27" s="536">
        <f t="shared" si="7"/>
        <v>-0.89602971951371468</v>
      </c>
      <c r="X27" s="536"/>
      <c r="Z27" s="536">
        <f t="shared" si="8"/>
        <v>0.316819604211316</v>
      </c>
      <c r="AA27" s="536"/>
    </row>
    <row r="28" spans="2:27">
      <c r="B28" s="534">
        <f t="shared" si="0"/>
        <v>45291</v>
      </c>
      <c r="C28" s="552" t="s">
        <v>1347</v>
      </c>
      <c r="E28" s="536">
        <f t="shared" si="1"/>
        <v>-0.262288351081854</v>
      </c>
      <c r="F28" s="536"/>
      <c r="H28" s="536">
        <f t="shared" si="2"/>
        <v>0.99</v>
      </c>
      <c r="I28" s="536"/>
      <c r="K28" s="536">
        <f t="shared" si="3"/>
        <v>5.913831134082527E-2</v>
      </c>
      <c r="L28" s="536"/>
      <c r="N28" s="536">
        <f t="shared" si="4"/>
        <v>-5.8324808875377575E-2</v>
      </c>
      <c r="O28" s="536"/>
      <c r="Q28" s="536">
        <f t="shared" si="5"/>
        <v>6.3844744413224006E-2</v>
      </c>
      <c r="R28" s="536"/>
      <c r="T28" s="536">
        <f t="shared" si="6"/>
        <v>-0.6348397888816053</v>
      </c>
      <c r="U28" s="536"/>
      <c r="W28" s="536">
        <f t="shared" si="7"/>
        <v>-0.99</v>
      </c>
      <c r="X28" s="536"/>
      <c r="Z28" s="536">
        <f t="shared" si="8"/>
        <v>0.27069585030272353</v>
      </c>
      <c r="AA28" s="536"/>
    </row>
    <row r="30" spans="2:27">
      <c r="B30" s="532" t="s">
        <v>1348</v>
      </c>
      <c r="E30" s="533">
        <f>COUNTIF(E19:E28,"&lt;0%")</f>
        <v>3</v>
      </c>
      <c r="H30" s="533">
        <f>COUNTIF(H19:H28,"&lt;0%")</f>
        <v>6</v>
      </c>
      <c r="K30" s="533">
        <f>COUNTIF(K19:K28,"&lt;0%")</f>
        <v>2</v>
      </c>
      <c r="N30" s="533">
        <f>COUNTIF(N19:N28,"&lt;0%")</f>
        <v>5</v>
      </c>
      <c r="Q30" s="533">
        <f>COUNTIF(Q19:Q28,"&lt;0%")</f>
        <v>5</v>
      </c>
      <c r="T30" s="533">
        <f>COUNTIF(T19:T28,"&gt;0%")</f>
        <v>4</v>
      </c>
      <c r="W30" s="533">
        <f>COUNTIF(W19:W28,"&gt;0%")</f>
        <v>3</v>
      </c>
      <c r="Z30" s="533">
        <f>COUNTIF(Z19:Z28,"&gt;0%")</f>
        <v>6</v>
      </c>
    </row>
    <row r="31" spans="2:27">
      <c r="B31" s="532" t="s">
        <v>1349</v>
      </c>
      <c r="E31" s="533">
        <f>COUNT(E19:E28)</f>
        <v>10</v>
      </c>
      <c r="H31" s="533">
        <f>COUNT(H19:H28)</f>
        <v>10</v>
      </c>
      <c r="K31" s="533">
        <f>COUNT(K19:K28)</f>
        <v>10</v>
      </c>
      <c r="N31" s="533">
        <f>COUNT(N19:N28)</f>
        <v>10</v>
      </c>
      <c r="Q31" s="533">
        <f>COUNT(Q19:Q28)</f>
        <v>10</v>
      </c>
      <c r="T31" s="533">
        <f>COUNT(T19:T28)</f>
        <v>10</v>
      </c>
      <c r="W31" s="533">
        <f>COUNT(W19:W28)</f>
        <v>10</v>
      </c>
      <c r="Z31" s="533">
        <f>COUNT(Z19:Z28)</f>
        <v>10</v>
      </c>
    </row>
    <row r="32" spans="2:27">
      <c r="B32" s="532" t="s">
        <v>1350</v>
      </c>
      <c r="E32" s="536">
        <f>E30/E31</f>
        <v>0.3</v>
      </c>
      <c r="F32" s="536"/>
      <c r="H32" s="536">
        <f>H30/H31</f>
        <v>0.6</v>
      </c>
      <c r="I32" s="536"/>
      <c r="K32" s="536">
        <f>K30/K31</f>
        <v>0.2</v>
      </c>
      <c r="L32" s="536"/>
      <c r="N32" s="536">
        <f>N30/N31</f>
        <v>0.5</v>
      </c>
      <c r="O32" s="536"/>
      <c r="Q32" s="536">
        <f>Q30/Q31</f>
        <v>0.5</v>
      </c>
      <c r="R32" s="536"/>
      <c r="T32" s="536">
        <f>T30/T31</f>
        <v>0.4</v>
      </c>
      <c r="U32" s="536"/>
      <c r="W32" s="536">
        <f>W30/W31</f>
        <v>0.3</v>
      </c>
      <c r="X32" s="536"/>
      <c r="Z32" s="536">
        <f>Z30/Z31</f>
        <v>0.6</v>
      </c>
      <c r="AA32" s="536"/>
    </row>
    <row r="33" spans="2:27">
      <c r="B33" s="532" t="s">
        <v>1351</v>
      </c>
      <c r="E33" s="536">
        <f>IFERROR(AVERAGEIF(E19:E28,"&lt;0%"),0%)</f>
        <v>-0.20747837742596545</v>
      </c>
      <c r="F33" s="536"/>
      <c r="H33" s="536">
        <f>IFERROR(AVERAGEIF(H19:H28,"&lt;0%"),0%)</f>
        <v>-0.9900000000000001</v>
      </c>
      <c r="I33" s="536"/>
      <c r="K33" s="536">
        <f>IFERROR(AVERAGEIF(K19:K28,"&lt;0%"),0%)</f>
        <v>-1.1518374921710635E-2</v>
      </c>
      <c r="L33" s="536"/>
      <c r="N33" s="536">
        <f>IFERROR(AVERAGEIF(N19:N28,"&lt;0%"),0%)</f>
        <v>-5.7754420788230398E-2</v>
      </c>
      <c r="O33" s="536"/>
      <c r="Q33" s="536">
        <f>IFERROR(AVERAGEIF(Q19:Q28,"&lt;0%"),0%)</f>
        <v>-6.9066486672377275E-2</v>
      </c>
      <c r="R33" s="536"/>
      <c r="T33" s="536">
        <f>IFERROR(AVERAGEIF(T19:T28,"&gt;0%"),0%)</f>
        <v>0.2094453871873462</v>
      </c>
      <c r="U33" s="536"/>
      <c r="W33" s="536">
        <f>IFERROR(AVERAGEIF(W19:W28,"&gt;0%"),0%)</f>
        <v>0.72368227384578232</v>
      </c>
      <c r="X33" s="536"/>
      <c r="Z33" s="536">
        <f>IFERROR(AVERAGEIF(Z19:Z28,"&gt;0%"),0%)</f>
        <v>0.26971914342492126</v>
      </c>
      <c r="AA33" s="536"/>
    </row>
    <row r="35" spans="2:27">
      <c r="B35" s="537" t="s">
        <v>1352</v>
      </c>
      <c r="C35" s="537"/>
      <c r="D35" s="538"/>
      <c r="E35" s="539">
        <f>AVERAGE(E6:E15)</f>
        <v>65.906795080644685</v>
      </c>
      <c r="F35" s="539"/>
      <c r="G35" s="539"/>
      <c r="H35" s="539">
        <f>AVERAGE(H6:H15)</f>
        <v>13.369512533377673</v>
      </c>
      <c r="I35" s="539"/>
      <c r="J35" s="539"/>
      <c r="K35" s="539">
        <f>AVERAGE(K6:K15)</f>
        <v>55.883230000000005</v>
      </c>
      <c r="L35" s="539"/>
      <c r="M35" s="539"/>
      <c r="N35" s="539">
        <f>AVERAGE(N6:N15)</f>
        <v>33.999153681769116</v>
      </c>
      <c r="O35" s="539"/>
      <c r="P35" s="539"/>
      <c r="Q35" s="539">
        <f>AVERAGE(Q6:Q15)</f>
        <v>97.133427097492174</v>
      </c>
      <c r="R35" s="539"/>
      <c r="S35" s="539"/>
      <c r="T35" s="539">
        <f>AVERAGE(T6:T15)</f>
        <v>-1.0787744759468447</v>
      </c>
      <c r="U35" s="539"/>
      <c r="V35" s="539"/>
      <c r="W35" s="539">
        <f>AVERAGE(W6:W15)</f>
        <v>1.0111212512861201</v>
      </c>
      <c r="X35" s="539"/>
      <c r="Y35" s="539"/>
      <c r="Z35" s="539">
        <f>AVERAGE(Z6:Z15)</f>
        <v>1.0708966485143088</v>
      </c>
      <c r="AA35" s="539"/>
    </row>
    <row r="36" spans="2:27">
      <c r="B36" s="540" t="s">
        <v>1353</v>
      </c>
      <c r="C36" s="540"/>
      <c r="D36" s="541"/>
      <c r="E36" s="542">
        <f>E15</f>
        <v>69.51157828642522</v>
      </c>
      <c r="F36" s="542"/>
      <c r="G36" s="542"/>
      <c r="H36" s="542">
        <f>H15</f>
        <v>-19.921700997413094</v>
      </c>
      <c r="I36" s="542"/>
      <c r="J36" s="542"/>
      <c r="K36" s="542">
        <f>K15</f>
        <v>64.918400000000005</v>
      </c>
      <c r="L36" s="542"/>
      <c r="M36" s="542"/>
      <c r="N36" s="542">
        <f>N15</f>
        <v>41.309327611762392</v>
      </c>
      <c r="O36" s="542"/>
      <c r="P36" s="542"/>
      <c r="Q36" s="542">
        <f>Q15</f>
        <v>98.438885264548944</v>
      </c>
      <c r="R36" s="542"/>
      <c r="S36" s="542"/>
      <c r="T36" s="542">
        <f>T15</f>
        <v>-0.37215001421856447</v>
      </c>
      <c r="U36" s="542"/>
      <c r="V36" s="542"/>
      <c r="W36" s="542">
        <f>W15</f>
        <v>-3.1872104688388005</v>
      </c>
      <c r="X36" s="542"/>
      <c r="Y36" s="542"/>
      <c r="Z36" s="542">
        <f>Z15</f>
        <v>1.1918211939978787</v>
      </c>
      <c r="AA36" s="542"/>
    </row>
    <row r="37" spans="2:27">
      <c r="B37" s="543" t="s">
        <v>1354</v>
      </c>
      <c r="C37" s="543"/>
      <c r="D37" s="544"/>
      <c r="E37" s="545">
        <f>MIN(E6:E15)</f>
        <v>36.613023334626483</v>
      </c>
      <c r="F37" s="545"/>
      <c r="G37" s="545"/>
      <c r="H37" s="545">
        <f>MIN(H6:H15)</f>
        <v>-32.186400536119528</v>
      </c>
      <c r="I37" s="545"/>
      <c r="J37" s="545"/>
      <c r="K37" s="545">
        <f>MIN(K6:K15)</f>
        <v>43.779600000000002</v>
      </c>
      <c r="L37" s="545"/>
      <c r="M37" s="545"/>
      <c r="N37" s="545">
        <f>MIN(N6:N15)</f>
        <v>20.810638992457172</v>
      </c>
      <c r="O37" s="545"/>
      <c r="P37" s="545"/>
      <c r="Q37" s="545">
        <f>MIN(Q6:Q15)</f>
        <v>85.848263025074729</v>
      </c>
      <c r="R37" s="545"/>
      <c r="S37" s="545"/>
      <c r="T37" s="545">
        <f>MAX(T6:T15)</f>
        <v>-0.37215001421856447</v>
      </c>
      <c r="U37" s="545"/>
      <c r="V37" s="545"/>
      <c r="W37" s="545">
        <f>MAX(W6:W15)</f>
        <v>6.0110729950322241</v>
      </c>
      <c r="X37" s="545"/>
      <c r="Y37" s="545"/>
      <c r="Z37" s="545">
        <f>MAX(Z6:Z15)</f>
        <v>1.7001190611330079</v>
      </c>
      <c r="AA37" s="545"/>
    </row>
    <row r="38" spans="2:27">
      <c r="B38" s="549" t="s">
        <v>1355</v>
      </c>
      <c r="C38" s="549"/>
      <c r="D38" s="550"/>
      <c r="E38" s="551">
        <f>PRODUCT(E32,100)</f>
        <v>30</v>
      </c>
      <c r="F38" s="551"/>
      <c r="G38" s="551"/>
      <c r="H38" s="551">
        <f>PRODUCT(H32,100)</f>
        <v>60</v>
      </c>
      <c r="I38" s="551"/>
      <c r="J38" s="551"/>
      <c r="K38" s="551">
        <f>PRODUCT(K32,100)</f>
        <v>20</v>
      </c>
      <c r="L38" s="551"/>
      <c r="M38" s="551"/>
      <c r="N38" s="551">
        <f>PRODUCT(N32,100)</f>
        <v>50</v>
      </c>
      <c r="O38" s="551"/>
      <c r="P38" s="551"/>
      <c r="Q38" s="551">
        <f>PRODUCT(Q32,100)</f>
        <v>50</v>
      </c>
      <c r="R38" s="551"/>
      <c r="S38" s="551"/>
      <c r="T38" s="551">
        <f>PRODUCT(T32,100)</f>
        <v>40</v>
      </c>
      <c r="U38" s="551"/>
      <c r="V38" s="551"/>
      <c r="W38" s="551">
        <f>PRODUCT(W32,100)</f>
        <v>30</v>
      </c>
      <c r="X38" s="551"/>
      <c r="Y38" s="551"/>
      <c r="Z38" s="551">
        <f>PRODUCT(Z32,100)</f>
        <v>60</v>
      </c>
      <c r="AA38" s="551"/>
    </row>
    <row r="39" spans="2:27">
      <c r="B39" s="546" t="s">
        <v>1356</v>
      </c>
      <c r="C39" s="546"/>
      <c r="D39" s="547"/>
      <c r="E39" s="548">
        <f>PRODUCT(-1,PRODUCT(E33,100))</f>
        <v>20.747837742596545</v>
      </c>
      <c r="F39" s="548"/>
      <c r="G39" s="548"/>
      <c r="H39" s="548">
        <f>PRODUCT(-1,PRODUCT(H33,100))</f>
        <v>99.000000000000014</v>
      </c>
      <c r="I39" s="548"/>
      <c r="J39" s="548"/>
      <c r="K39" s="548">
        <f>PRODUCT(-1,PRODUCT(K33,100))</f>
        <v>1.1518374921710635</v>
      </c>
      <c r="L39" s="548"/>
      <c r="M39" s="548"/>
      <c r="N39" s="548">
        <f>PRODUCT(-1,PRODUCT(N33,100))</f>
        <v>5.7754420788230396</v>
      </c>
      <c r="O39" s="548"/>
      <c r="P39" s="548"/>
      <c r="Q39" s="548">
        <f>PRODUCT(-1,PRODUCT(Q33,100))</f>
        <v>6.9066486672377279</v>
      </c>
      <c r="R39" s="548"/>
      <c r="S39" s="548"/>
      <c r="T39" s="548">
        <f>PRODUCT(-1,PRODUCT(T33,100))</f>
        <v>-20.94453871873462</v>
      </c>
      <c r="U39" s="548"/>
      <c r="V39" s="548"/>
      <c r="W39" s="548">
        <f>PRODUCT(-1,PRODUCT(W33,100))</f>
        <v>-72.368227384578233</v>
      </c>
      <c r="X39" s="548"/>
      <c r="Y39" s="548"/>
      <c r="Z39" s="548">
        <f>PRODUCT(-1,PRODUCT(Z33,100))</f>
        <v>-26.971914342492127</v>
      </c>
      <c r="AA39" s="548"/>
    </row>
    <row r="40" spans="2:27" ht="15" customHeight="1" thickBot="1"/>
    <row r="41" spans="2:27" ht="15" customHeight="1" thickBot="1">
      <c r="E41" s="554" t="str">
        <f>E2</f>
        <v>ebitda</v>
      </c>
      <c r="H41" s="554" t="str">
        <f>H2</f>
        <v>revenue</v>
      </c>
      <c r="K41" s="554" t="str">
        <f>K2</f>
        <v>gross</v>
      </c>
      <c r="N41" s="554" t="str">
        <f>N2</f>
        <v>ebitda</v>
      </c>
      <c r="Q41" s="554" t="str">
        <f>Q2</f>
        <v>ocf</v>
      </c>
      <c r="T41" s="556" t="str">
        <f>T2</f>
        <v>net debt</v>
      </c>
      <c r="W41" s="556" t="str">
        <f>W2</f>
        <v>share</v>
      </c>
    </row>
    <row r="42" spans="2:27" ht="15" customHeight="1" thickBot="1">
      <c r="E42" s="555" t="str">
        <f>E3</f>
        <v>ncnita</v>
      </c>
      <c r="H42" s="555" t="str">
        <f>H3</f>
        <v>growth</v>
      </c>
      <c r="K42" s="555" t="str">
        <f>K3</f>
        <v>margin</v>
      </c>
      <c r="N42" s="555" t="str">
        <f>N3</f>
        <v>margin</v>
      </c>
      <c r="Q42" s="555" t="str">
        <f>Q3</f>
        <v>ebitda</v>
      </c>
      <c r="T42" s="557" t="str">
        <f>T3</f>
        <v>ebitda</v>
      </c>
      <c r="W42" s="557" t="str">
        <f>W3</f>
        <v>dilution</v>
      </c>
      <c r="Z42" s="558" t="str">
        <f>Z3</f>
        <v>revenue</v>
      </c>
    </row>
    <row r="43" spans="2:27" ht="15" customHeight="1" thickBot="1">
      <c r="E43" s="553">
        <f>PRODUCT(MEDIAN(E35,E36,E37),1-PRODUCT((E38/100),(E39/100)))</f>
        <v>61.804524609241355</v>
      </c>
      <c r="H43" s="553">
        <f>PRODUCT(MEDIAN(H35,H36,H37),1-PRODUCT((H38/100),(H39/100)))</f>
        <v>-8.0882106049497136</v>
      </c>
      <c r="K43" s="553">
        <f>IFERROR(PRODUCT(MEDIAN(K35,K36,K37),1-PRODUCT((K38/100),(K39/100))),"")</f>
        <v>55.754493201004763</v>
      </c>
      <c r="N43" s="553">
        <f>PRODUCT(MEDIAN(N35,N36,N37),1-PRODUCT((N38/100),(N39/100)))</f>
        <v>33.017352967678811</v>
      </c>
      <c r="Q43" s="553">
        <f>PRODUCT(MEDIAN(Q35,Q36,Q37),1-PRODUCT((Q38/100),(Q39/100)))</f>
        <v>93.779094823456532</v>
      </c>
      <c r="T43" s="553">
        <f>PRODUCT(MEDIAN(T35,T36,T37),1-PRODUCT((T38/100),(T39/100)))</f>
        <v>-0.40332805574647795</v>
      </c>
      <c r="W43" s="553">
        <f>PRODUCT(MEDIAN(W35,W36,W37),1-PRODUCT((W38/100),(W39/100)))</f>
        <v>1.2306404091654797</v>
      </c>
      <c r="Z43" s="553">
        <f>PRODUCT(MEDIAN(Z35,Z36,Z37),1-PRODUCT((Z38/100),(Z39/100)))</f>
        <v>1.3846953889343436</v>
      </c>
    </row>
    <row r="44" spans="2:27" ht="15" customHeight="1" thickBot="1">
      <c r="E44" s="588">
        <f>AVERAGE(E43,E45)</f>
        <v>66.077265140009757</v>
      </c>
      <c r="F44" s="544"/>
      <c r="G44" s="544"/>
      <c r="H44" s="588">
        <f>AVERAGE(H43,H45)</f>
        <v>-3.0523674006232104</v>
      </c>
      <c r="I44" s="544"/>
      <c r="J44" s="544"/>
      <c r="K44" s="588">
        <f>AVERAGE(K43,K45)</f>
        <v>56.363946600502381</v>
      </c>
      <c r="L44" s="544"/>
      <c r="M44" s="544"/>
      <c r="N44" s="588">
        <f>AVERAGE(N43,N45)</f>
        <v>34.840326520435063</v>
      </c>
      <c r="O44" s="544"/>
      <c r="P44" s="544"/>
      <c r="Q44" s="588">
        <f>AVERAGE(Q43,Q45)</f>
        <v>95.871148090841444</v>
      </c>
      <c r="R44" s="544"/>
      <c r="S44" s="544"/>
      <c r="T44" s="588">
        <f ca="1">AVERAGE(T43,T45)</f>
        <v>-0.40332805574647795</v>
      </c>
      <c r="U44" s="544"/>
      <c r="V44" s="544"/>
      <c r="W44" s="588">
        <f>AVERAGE(W43,W45)</f>
        <v>1.0907265672585642</v>
      </c>
      <c r="X44" s="544"/>
      <c r="Y44" s="544"/>
      <c r="Z44" s="588">
        <f>AVERAGE(Z43,Z45)</f>
        <v>1.2342323226459688</v>
      </c>
    </row>
    <row r="45" spans="2:27" ht="15" customHeight="1" thickBot="1">
      <c r="E45" s="583">
        <f>MEDIAN(E6:E15)</f>
        <v>70.350005670778145</v>
      </c>
      <c r="F45" s="584"/>
      <c r="G45" s="584"/>
      <c r="H45" s="583">
        <f>MEDIAN(H6:H15)</f>
        <v>1.9834758037032931</v>
      </c>
      <c r="I45" s="584"/>
      <c r="J45" s="584"/>
      <c r="K45" s="583">
        <f>IFERROR(MEDIAN(K6:K15),"")</f>
        <v>56.973399999999998</v>
      </c>
      <c r="L45" s="584"/>
      <c r="M45" s="584"/>
      <c r="N45" s="583">
        <f>MEDIAN(N6:N15)</f>
        <v>36.663300073191316</v>
      </c>
      <c r="O45" s="584"/>
      <c r="P45" s="584"/>
      <c r="Q45" s="583">
        <f>MEDIAN(Q6:Q15)</f>
        <v>97.963201358226343</v>
      </c>
      <c r="R45" s="584"/>
      <c r="S45" s="584"/>
      <c r="T45" s="585" t="str">
        <f ca="1">'gp dupont'!AK66</f>
        <v/>
      </c>
      <c r="U45" s="584"/>
      <c r="V45" s="584"/>
      <c r="W45" s="583">
        <f>MEDIAN(W6:W15)</f>
        <v>0.95081272535164896</v>
      </c>
      <c r="X45" s="584"/>
      <c r="Y45" s="584"/>
      <c r="Z45" s="583">
        <f>MEDIAN(Z6:Z15)</f>
        <v>1.083769256357594</v>
      </c>
    </row>
    <row r="46" spans="2:27" ht="15" customHeight="1" thickBot="1">
      <c r="E46" s="588"/>
      <c r="F46" s="584"/>
      <c r="G46" s="584"/>
      <c r="H46" s="588"/>
      <c r="I46" s="584"/>
      <c r="J46" s="584"/>
      <c r="K46" s="588"/>
      <c r="L46" s="584"/>
      <c r="M46" s="584"/>
      <c r="N46" s="588"/>
      <c r="O46" s="584"/>
      <c r="P46" s="584"/>
      <c r="Q46" s="588"/>
      <c r="R46" s="584"/>
      <c r="S46" s="584"/>
      <c r="T46" s="588"/>
      <c r="U46" s="584"/>
      <c r="V46" s="584"/>
      <c r="W46" s="588"/>
      <c r="X46" s="584"/>
      <c r="Y46" s="584"/>
      <c r="Z46" s="588"/>
    </row>
    <row r="47" spans="2:27">
      <c r="B47" s="565" t="s">
        <v>1357</v>
      </c>
      <c r="E47" s="571">
        <v>24</v>
      </c>
      <c r="H47" s="568" t="str">
        <f ca="1">IFERROR(PRODUCT(100,((H68-H67)/H67)),"")</f>
        <v/>
      </c>
      <c r="K47" s="571">
        <v>24</v>
      </c>
      <c r="N47" s="1098" t="s">
        <v>1358</v>
      </c>
      <c r="Q47" s="568" t="str">
        <f ca="1">IFERROR(PRODUCT(100,((E68-E67)/E67)),"")</f>
        <v/>
      </c>
    </row>
    <row r="48" spans="2:27">
      <c r="B48" s="582" t="e">
        <f ca="1">'gp dupont'!B3/1000</f>
        <v>#NAME?</v>
      </c>
      <c r="C48" s="532">
        <v>2024</v>
      </c>
      <c r="E48" s="572">
        <v>25</v>
      </c>
      <c r="H48" s="569" t="str">
        <f ca="1">IFERROR(PRODUCT(100,((H69-H68)/H68)),"")</f>
        <v/>
      </c>
      <c r="K48" s="572">
        <v>25</v>
      </c>
      <c r="N48" s="1099"/>
      <c r="Q48" s="569" t="str">
        <f ca="1">IFERROR(PRODUCT(100,((E69-E68)/E68)),"")</f>
        <v/>
      </c>
    </row>
    <row r="49" spans="2:17" ht="15" customHeight="1" thickBot="1">
      <c r="B49" s="565" t="s">
        <v>1359</v>
      </c>
      <c r="C49" s="532">
        <v>2025</v>
      </c>
      <c r="E49" s="573">
        <v>26</v>
      </c>
      <c r="H49" s="570" t="str">
        <f ca="1">IFERROR(PRODUCT(100,((H70-H69)/H69)),"")</f>
        <v/>
      </c>
      <c r="K49" s="573">
        <v>26</v>
      </c>
      <c r="N49" s="1100"/>
      <c r="Q49" s="570" t="str">
        <f ca="1">IFERROR(PRODUCT(100,((E70-E69)/E69)),"")</f>
        <v/>
      </c>
    </row>
    <row r="50" spans="2:17">
      <c r="B50" s="582" t="e">
        <f ca="1">LOWER('gp dupont'!A5)</f>
        <v>#NAME?</v>
      </c>
      <c r="K50" s="571">
        <v>24</v>
      </c>
      <c r="N50" s="1101" t="s">
        <v>1360</v>
      </c>
      <c r="Q50" s="568" t="str">
        <f t="array" aca="1" ref="Q50" ca="1">IF(IFERROR(_xll.BDP(B3&amp;" equity","best pe ratio","best fperiod override=24y"),"")="#N/A N/A","",IFERROR(_xll.BDP(B3&amp;" equity","best pe ratio","best fperiod override=24y"),""))</f>
        <v/>
      </c>
    </row>
    <row r="51" spans="2:17">
      <c r="B51" s="565" t="s">
        <v>1361</v>
      </c>
      <c r="C51" s="533"/>
      <c r="K51" s="572">
        <v>25</v>
      </c>
      <c r="N51" s="1099"/>
      <c r="Q51" s="569" t="str">
        <f t="array" aca="1" ref="Q51" ca="1">IF(IFERROR(_xll.BDP(B3&amp;" equity","best pe ratio","best fperiod override=25y"),"")="#N/A N/A","",IFERROR(_xll.BDP(B3&amp;" equity","best pe ratio","best fperiod override=25y"),""))</f>
        <v/>
      </c>
    </row>
    <row r="52" spans="2:17" ht="15" customHeight="1" thickBot="1">
      <c r="B52" s="582" t="e">
        <f ca="1">'gp dupont'!C3</f>
        <v>#NAME?</v>
      </c>
      <c r="K52" s="573">
        <v>26</v>
      </c>
      <c r="N52" s="1100"/>
      <c r="Q52" s="570" t="str">
        <f t="array" aca="1" ref="Q52" ca="1">IF(IFERROR(_xll.BDP(B3&amp;" equity","best pe ratio","best fperiod override=26y"),"")="#N/A N/A","",IFERROR(_xll.BDP(B3&amp;" equity","best pe ratio","best fperiod override=26y"),""))</f>
        <v/>
      </c>
    </row>
    <row r="53" spans="2:17">
      <c r="B53" s="565" t="s">
        <v>1362</v>
      </c>
      <c r="K53" s="571">
        <v>24</v>
      </c>
      <c r="N53" s="1102" t="s">
        <v>1363</v>
      </c>
      <c r="Q53" s="1009" t="str">
        <f ca="1">IFERROR(Q50/Q47,"")</f>
        <v/>
      </c>
    </row>
    <row r="54" spans="2:17">
      <c r="B54" s="582" t="e">
        <f ca="1">'gp dupont'!C4</f>
        <v>#NAME?</v>
      </c>
      <c r="K54" s="572">
        <v>25</v>
      </c>
      <c r="N54" s="1099"/>
      <c r="Q54" s="1010" t="str">
        <f ca="1">IFERROR(Q51/Q48,"")</f>
        <v/>
      </c>
    </row>
    <row r="55" spans="2:17" ht="15" customHeight="1" thickBot="1">
      <c r="K55" s="573">
        <v>26</v>
      </c>
      <c r="N55" s="1100"/>
      <c r="Q55" s="1011" t="str">
        <f ca="1">IFERROR(Q52/Q49,"")</f>
        <v/>
      </c>
    </row>
    <row r="57" spans="2:17">
      <c r="B57" s="586" t="e">
        <f ca="1">'gp dupont'!E1</f>
        <v>#NAME?</v>
      </c>
    </row>
    <row r="58" spans="2:17">
      <c r="B58" s="586" t="str">
        <f>'gp dupont'!E2</f>
        <v>equipment.  The Company designs, develops, manufactures, markets, and services</v>
      </c>
    </row>
    <row r="59" spans="2:17">
      <c r="B59" s="586" t="str">
        <f>'gp dupont'!E3</f>
        <v>machines that manufacture semiconductor packages, which provide the connection</v>
      </c>
    </row>
    <row r="60" spans="2:17">
      <c r="B60" s="586" t="str">
        <f>'gp dupont'!E4</f>
        <v>between the chip and other electronic components and protect the chip.  BE also</v>
      </c>
    </row>
    <row r="61" spans="2:17">
      <c r="B61" s="586" t="str">
        <f>'gp dupont'!E5</f>
        <v>produces automated molding and plating machines, and manufactures leadframes.</v>
      </c>
    </row>
    <row r="67" spans="4:20" hidden="1">
      <c r="D67" s="566">
        <v>23</v>
      </c>
      <c r="E67" s="567" t="str">
        <f t="array" aca="1" ref="E67" ca="1">IFERROR(_xll.BDP(B3&amp;" equity","best eps","best fperiod override=23y"),"")</f>
        <v/>
      </c>
      <c r="G67" s="566">
        <v>23</v>
      </c>
      <c r="H67" s="535" t="str">
        <f t="array" aca="1" ref="H67" ca="1">IFERROR(_xll.BDP(B3&amp;" equity","best sales","best fperiod override=23y"),"")</f>
        <v/>
      </c>
    </row>
    <row r="68" spans="4:20" hidden="1">
      <c r="D68" s="566">
        <v>24</v>
      </c>
      <c r="E68" s="567" t="str">
        <f t="array" aca="1" ref="E68" ca="1">IFERROR(_xll.BDP(B3&amp;" equity","best eps","best fperiod override=24y"),"")</f>
        <v/>
      </c>
      <c r="G68" s="566">
        <v>24</v>
      </c>
      <c r="H68" s="535" t="str">
        <f t="array" aca="1" ref="H68" ca="1">IFERROR(_xll.BDP(B3&amp;" equity","best sales","best fperiod override=24y"),"")</f>
        <v/>
      </c>
    </row>
    <row r="69" spans="4:20" hidden="1">
      <c r="D69" s="566">
        <v>25</v>
      </c>
      <c r="E69" s="567" t="str">
        <f t="array" aca="1" ref="E69" ca="1">IFERROR(_xll.BDP(B3&amp;" equity","best eps","best fperiod override=25y"),"")</f>
        <v/>
      </c>
      <c r="G69" s="566">
        <v>25</v>
      </c>
      <c r="H69" s="535" t="str">
        <f t="array" aca="1" ref="H69" ca="1">IFERROR(_xll.BDP(B3&amp;" equity","best sales","best fperiod override=25y"),"")</f>
        <v/>
      </c>
    </row>
    <row r="70" spans="4:20" hidden="1">
      <c r="D70" s="566">
        <v>26</v>
      </c>
      <c r="E70" s="567" t="str">
        <f t="array" aca="1" ref="E70" ca="1">IFERROR(_xll.BDP(B3&amp;" equity","best eps","best fperiod override=26y"),"")</f>
        <v/>
      </c>
      <c r="G70" s="566">
        <v>26</v>
      </c>
      <c r="H70" s="535" t="str">
        <f t="array" aca="1" ref="H70" ca="1">IFERROR(_xll.BDP(B3&amp;" equity","best sales","best fperiod override=26y"),"")</f>
        <v/>
      </c>
    </row>
    <row r="72" spans="4:20">
      <c r="K72" s="536"/>
    </row>
    <row r="73" spans="4:20">
      <c r="K73" s="536"/>
    </row>
    <row r="74" spans="4:20">
      <c r="K74" s="536"/>
    </row>
    <row r="75" spans="4:20">
      <c r="K75" s="536"/>
    </row>
    <row r="76" spans="4:20">
      <c r="K76" s="561"/>
      <c r="T76" s="739"/>
    </row>
    <row r="77" spans="4:20">
      <c r="K77" s="536"/>
      <c r="T77" s="559"/>
    </row>
    <row r="78" spans="4:20">
      <c r="T78" s="739"/>
    </row>
    <row r="79" spans="4:20">
      <c r="T79" s="740"/>
    </row>
    <row r="81" spans="20:20">
      <c r="T81" s="560"/>
    </row>
    <row r="82" spans="20:20">
      <c r="T82" s="560"/>
    </row>
  </sheetData>
  <mergeCells count="3">
    <mergeCell ref="N47:N49"/>
    <mergeCell ref="N50:N52"/>
    <mergeCell ref="N53:N55"/>
  </mergeCell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T140"/>
  <sheetViews>
    <sheetView workbookViewId="0">
      <selection activeCell="C23" sqref="C23"/>
    </sheetView>
  </sheetViews>
  <sheetFormatPr baseColWidth="10" defaultColWidth="9.1640625" defaultRowHeight="15" outlineLevelRow="1" outlineLevelCol="1"/>
  <cols>
    <col min="2" max="2" width="17" customWidth="1"/>
    <col min="3" max="10" width="11.1640625" customWidth="1"/>
    <col min="12" max="33" width="8.6640625" hidden="1" customWidth="1" outlineLevel="1"/>
    <col min="34" max="34" width="9.1640625" customWidth="1" collapsed="1"/>
    <col min="38" max="38" width="10.6640625" hidden="1" customWidth="1" outlineLevel="1"/>
    <col min="39" max="43" width="8.6640625" hidden="1" customWidth="1" outlineLevel="1"/>
    <col min="44" max="44" width="14.5" hidden="1" customWidth="1" outlineLevel="1"/>
    <col min="45" max="45" width="8.6640625" hidden="1" customWidth="1" outlineLevel="1"/>
    <col min="46" max="46" width="9.1640625" customWidth="1" collapsed="1"/>
  </cols>
  <sheetData>
    <row r="1" spans="2:45" ht="16" customHeight="1" thickBot="1">
      <c r="B1" s="163"/>
      <c r="C1" s="163"/>
      <c r="L1" t="s">
        <v>1364</v>
      </c>
      <c r="M1" s="2" t="e">
        <f t="array" aca="1" ref="M1" ca="1">INDIRECT($AL$1&amp;"!B23")</f>
        <v>#REF!</v>
      </c>
      <c r="P1" t="s">
        <v>1365</v>
      </c>
      <c r="Q1" s="2" t="e">
        <f t="array" aca="1" ref="Q1" ca="1">INDIRECT($AL$1&amp;"!AM3")</f>
        <v>#REF!</v>
      </c>
      <c r="T1" t="s">
        <v>1366</v>
      </c>
      <c r="U1" s="2" t="e">
        <f t="array" aca="1" ref="U1" ca="1">IF(Q1="No",IF(OR(INDIRECT(AL1&amp;"!CF1")="Banks",INDIRECT(AL1&amp;"!CF1")="Real Estate",INDIRECT(AL1&amp;"!CF1")="Insurance"),"Y","N"),IF(Q1="Yes",IF(OR(INDIRECT(AL1&amp;"!CF2")="Banks",INDIRECT(AL1&amp;"!CF2")="Real Estate",INDIRECT(AL1&amp;"!CF2")="Insurance"),"Y","N"),""))</f>
        <v>#REF!</v>
      </c>
      <c r="AL1" s="598" t="s">
        <v>0</v>
      </c>
    </row>
    <row r="2" spans="2:45" ht="17" customHeight="1" thickBot="1">
      <c r="B2" s="599">
        <f>'summary dupont'!B3</f>
        <v>0</v>
      </c>
      <c r="C2" s="600"/>
      <c r="D2" s="17"/>
      <c r="E2" s="17"/>
      <c r="F2" s="17"/>
      <c r="G2" s="17"/>
    </row>
    <row r="3" spans="2:45">
      <c r="B3" s="601"/>
      <c r="C3" s="230"/>
      <c r="D3" s="601"/>
      <c r="E3" s="230"/>
      <c r="F3" s="601"/>
      <c r="G3" s="769"/>
      <c r="L3" t="s">
        <v>1367</v>
      </c>
      <c r="M3" s="602" t="s">
        <v>207</v>
      </c>
      <c r="P3" t="s">
        <v>1368</v>
      </c>
      <c r="Q3" s="602" t="s">
        <v>207</v>
      </c>
      <c r="T3" t="s">
        <v>1369</v>
      </c>
      <c r="U3" s="602" t="s">
        <v>207</v>
      </c>
    </row>
    <row r="4" spans="2:45">
      <c r="AE4" t="s">
        <v>1370</v>
      </c>
    </row>
    <row r="5" spans="2:45">
      <c r="L5" s="276" t="e">
        <f t="array" aca="1" ref="L5" ca="1">INDIRECT($AL$1&amp;"!B35")</f>
        <v>#REF!</v>
      </c>
      <c r="M5" s="1012" t="e">
        <f t="array" aca="1" ref="M5" ca="1">INDIRECT($AL$1&amp;"!R35")</f>
        <v>#REF!</v>
      </c>
      <c r="N5" s="821" t="e">
        <f t="array" aca="1" ref="N5" ca="1">INDIRECT($AL$1&amp;"!D35")</f>
        <v>#REF!</v>
      </c>
      <c r="P5" s="2"/>
      <c r="T5" t="s">
        <v>1371</v>
      </c>
      <c r="U5" s="3">
        <f>1/3</f>
        <v>0.33333333333333331</v>
      </c>
      <c r="V5" s="3">
        <f>2/3</f>
        <v>0.66666666666666663</v>
      </c>
      <c r="X5" s="276" t="s">
        <v>1372</v>
      </c>
      <c r="Y5" s="821" t="e">
        <f ca="1">IF($M$1="FQ",IF(AND(ISNUMBER(#REF!),ISNUMBER(#REF!)),(#REF!-#REF!)/ABS(#REF!)*100,""),"")</f>
        <v>#REF!</v>
      </c>
      <c r="Z5" s="821" t="e">
        <f ca="1">IF($M$1="FQ",IF(AND(ISNUMBER(#REF!),ISNUMBER(#REF!)),(#REF!-#REF!)/ABS(#REF!)*100,""),"")</f>
        <v>#REF!</v>
      </c>
      <c r="AG5" s="2"/>
      <c r="AL5" s="749"/>
      <c r="AN5" s="751"/>
      <c r="AR5" t="s">
        <v>728</v>
      </c>
      <c r="AS5" t="s">
        <v>1229</v>
      </c>
    </row>
    <row r="6" spans="2:45">
      <c r="B6" s="27" t="s">
        <v>1373</v>
      </c>
      <c r="P6" s="2"/>
      <c r="T6" t="s">
        <v>1374</v>
      </c>
      <c r="U6" s="1013" t="str">
        <f>IF(AND(ISNUMBER(#REF!),ISNUMBER(#REF!)),(#REF!*U5)+(#REF!*V5),"")</f>
        <v/>
      </c>
      <c r="X6" s="603" t="s">
        <v>1375</v>
      </c>
      <c r="Y6" s="836" t="e">
        <f ca="1">IF($M$1="FQ",IF(AND(ISNUMBER(#REF!),ISNUMBER(#REF!)),(#REF!-#REF!)/ABS(#REF!)*100,""),"")</f>
        <v>#REF!</v>
      </c>
      <c r="Z6" s="836" t="e">
        <f ca="1">IF($M$1="FQ",IF(AND(ISNUMBER(#REF!),ISNUMBER(#REF!)),(#REF!-#REF!)/ABS(#REF!)*100,""),"")</f>
        <v>#REF!</v>
      </c>
      <c r="AE6" t="s">
        <v>1376</v>
      </c>
      <c r="AG6" s="2" t="e">
        <f>#REF!+#REF!</f>
        <v>#REF!</v>
      </c>
      <c r="AL6" s="749" t="s">
        <v>207</v>
      </c>
      <c r="AN6" s="751"/>
      <c r="AR6" t="s">
        <v>1377</v>
      </c>
      <c r="AS6" t="s">
        <v>1229</v>
      </c>
    </row>
    <row r="7" spans="2:45">
      <c r="L7" s="276" t="s">
        <v>1372</v>
      </c>
      <c r="M7" s="821" t="e">
        <f ca="1">IF($M$1="FQ",IF(AND(ISNUMBER(#REF!),ISNUMBER(#REF!)),((#REF!-#REF!+ABS(#REF!))/ABS(#REF!)-1)*100,""),"")</f>
        <v>#REF!</v>
      </c>
      <c r="N7" s="821" t="e">
        <f ca="1">IF($M$1="FQ",IF(AND(ISNUMBER(#REF!),ISNUMBER(#REF!)),((#REF!-#REF!+ABS(#REF!))/ABS(#REF!)-1)*100,""),"")</f>
        <v>#REF!</v>
      </c>
      <c r="P7" s="2"/>
      <c r="T7" t="s">
        <v>1378</v>
      </c>
      <c r="U7" s="821" t="str">
        <f>IF(U6="","",IF(U6&gt;65,12,IF(U6&lt;-2.6,-2,0.00007*(U6)^3-0.0101*(U6)^2+0.5506*(U6)-0.48)))</f>
        <v/>
      </c>
      <c r="X7" s="276" t="s">
        <v>1379</v>
      </c>
      <c r="Y7" s="821" t="e">
        <f ca="1">IF($M$1="FS",IF(AND(ISNUMBER(#REF!),ISNUMBER(#REF!)),(#REF!-#REF!)/ABS(#REF!)*100,""),"")</f>
        <v>#REF!</v>
      </c>
      <c r="Z7" s="821" t="e">
        <f ca="1">IF($M$1="FS",IF(AND(ISNUMBER(#REF!),ISNUMBER(#REF!)),(#REF!-#REF!)/ABS(#REF!)*100,""),"")</f>
        <v>#REF!</v>
      </c>
      <c r="AL7" s="752" t="s">
        <v>206</v>
      </c>
      <c r="AM7" s="753"/>
      <c r="AN7" s="754"/>
      <c r="AR7" t="s">
        <v>731</v>
      </c>
      <c r="AS7" t="s">
        <v>1229</v>
      </c>
    </row>
    <row r="8" spans="2:45" ht="16" customHeight="1" thickBot="1">
      <c r="B8" s="762"/>
      <c r="C8" s="359" t="s">
        <v>1380</v>
      </c>
      <c r="D8" s="359" t="s">
        <v>1381</v>
      </c>
      <c r="L8" s="276" t="s">
        <v>1375</v>
      </c>
      <c r="M8" s="821" t="e">
        <f ca="1">IF($M$1="FQ",IF(AND(ISNUMBER(#REF!),ISNUMBER(#REF!)),((#REF!-#REF!+ABS(#REF!))/ABS(#REF!)-1)*100,""),"")</f>
        <v>#REF!</v>
      </c>
      <c r="N8" s="821" t="e">
        <f ca="1">IF($M$1="FQ",IF(AND(ISNUMBER(#REF!),ISNUMBER(#REF!)),((#REF!-#REF!+ABS(#REF!))/ABS(#REF!)-1)*100,""),"")</f>
        <v>#REF!</v>
      </c>
      <c r="P8" s="2"/>
      <c r="AR8" t="s">
        <v>746</v>
      </c>
      <c r="AS8" t="s">
        <v>1227</v>
      </c>
    </row>
    <row r="9" spans="2:45">
      <c r="B9" t="s">
        <v>1382</v>
      </c>
      <c r="C9" s="2">
        <f ca="1">COUNTIF(L29:L108,"&gt;=0")</f>
        <v>0</v>
      </c>
      <c r="D9" s="713" t="str">
        <f ca="1">IFERROR(AVERAGEIF(L29:L108,"&gt;=0"),"")</f>
        <v/>
      </c>
      <c r="L9" s="2" t="s">
        <v>1383</v>
      </c>
      <c r="M9" s="821" t="e">
        <f ca="1">IF($M$1="FQ",IF(AND(ISNUMBER(#REF!),ISNUMBER(#REF!)),((#REF!-#REF!+ABS(#REF!))/ABS(#REF!)-1)*100,""),"")</f>
        <v>#REF!</v>
      </c>
      <c r="N9" s="821" t="e">
        <f ca="1">IF($M$1="FQ",IF(AND(ISNUMBER(#REF!),ISNUMBER(#REF!)),((#REF!-#REF!+ABS(#REF!))/ABS(#REF!)-1)*100,""),"")</f>
        <v>#REF!</v>
      </c>
      <c r="P9" s="2"/>
      <c r="T9" t="s">
        <v>1384</v>
      </c>
      <c r="U9" s="1013" t="e">
        <f t="array" aca="1" ref="U9" ca="1">IFERROR(IF(Q1="No",INDIRECT($AL$1&amp;"!CC16"),IF(Q1="Yes",INDIRECT($AL$1&amp;"!CD16"),"")),U10)</f>
        <v>#REF!</v>
      </c>
      <c r="X9" s="2" t="s">
        <v>1265</v>
      </c>
      <c r="Y9" s="821" t="e">
        <f ca="1">IF($M$1="FQ",IF(AND(ISNUMBER(Y5),ISNUMBER(Y6)),AVERAGE(Y5:Y6),""),IF($M$1="FS",Y7,""))</f>
        <v>#REF!</v>
      </c>
      <c r="Z9" s="821" t="e">
        <f ca="1">IF($M$1="FQ",IF(AND(ISNUMBER(Z5),ISNUMBER(Z6)),AVERAGE(Z5:Z6),""),IF($M$1="FS",Z7,""))</f>
        <v>#REF!</v>
      </c>
      <c r="AR9" t="s">
        <v>749</v>
      </c>
      <c r="AS9" t="s">
        <v>1229</v>
      </c>
    </row>
    <row r="10" spans="2:45">
      <c r="B10" t="s">
        <v>1385</v>
      </c>
      <c r="C10" s="2">
        <f ca="1">COUNTIF(M29:M108,"&lt;0")</f>
        <v>0</v>
      </c>
      <c r="D10" s="713" t="str">
        <f ca="1">IFERROR(AVERAGEIF(M29:M108,"&lt;0"),"")</f>
        <v/>
      </c>
      <c r="L10" s="4" t="s">
        <v>1386</v>
      </c>
      <c r="M10" s="836" t="e">
        <f ca="1">IF($M$1="FQ",IF(AND(ISNUMBER(#REF!),ISNUMBER(M5)),((M5-#REF!+ABS(#REF!))/ABS(#REF!)-1)*100,""),"")</f>
        <v>#REF!</v>
      </c>
      <c r="N10" s="836" t="e">
        <f ca="1">IF($M$1="FQ",IF(AND(ISNUMBER(#REF!),ISNUMBER(N5)),((N5-#REF!+ABS(#REF!))/ABS(#REF!)-1)*100,""),"")</f>
        <v>#REF!</v>
      </c>
      <c r="T10" t="s">
        <v>1387</v>
      </c>
      <c r="U10" s="821" t="e">
        <f t="array" aca="1" ref="U10" ca="1">INDIRECT($AL$1&amp;"!AB87")</f>
        <v>#REF!</v>
      </c>
      <c r="X10" s="2" t="s">
        <v>1388</v>
      </c>
      <c r="Y10" s="1014" t="str">
        <f ca="1">IF(AND(ISNUMBER(Y9),ISNUMBER(Z9)),AVERAGE(Y9,Y9,Z9),"")</f>
        <v/>
      </c>
      <c r="AR10" t="s">
        <v>755</v>
      </c>
      <c r="AS10" t="s">
        <v>1227</v>
      </c>
    </row>
    <row r="11" spans="2:45">
      <c r="B11" t="s">
        <v>831</v>
      </c>
      <c r="C11" s="2">
        <f ca="1">C9+C10</f>
        <v>0</v>
      </c>
      <c r="L11" s="276" t="s">
        <v>1379</v>
      </c>
      <c r="M11" s="821" t="e">
        <f ca="1">IF($M$1="FS",IF(AND(ISNUMBER(#REF!),ISNUMBER(#REF!)),((#REF!-#REF!+ABS(#REF!))/ABS(#REF!)-1)*100,""),"")</f>
        <v>#REF!</v>
      </c>
      <c r="N11" s="821" t="e">
        <f ca="1">IF($M$1="FS",IF(AND(ISNUMBER(#REF!),ISNUMBER(#REF!)),((#REF!-#REF!+ABS(#REF!))/ABS(#REF!)-1)*100,""),"")</f>
        <v>#REF!</v>
      </c>
      <c r="P11" s="2"/>
      <c r="U11" s="821"/>
      <c r="X11" s="2" t="s">
        <v>1389</v>
      </c>
      <c r="Y11" s="919" t="str">
        <f ca="1">IF(ISNUMBER(Y10),IF(Y10&gt;41.78,12,IF(Y10&lt;-41.78,-2,(0.0000001*(Y10^5))+(0.000000000000000006*(Y10^4))+(-0.0003*(Y10^3))+(0.0000000000005*(Y10^2))+(0.3865*Y10)+5)),"")</f>
        <v/>
      </c>
      <c r="AR11" t="s">
        <v>758</v>
      </c>
      <c r="AS11" t="s">
        <v>1227</v>
      </c>
    </row>
    <row r="12" spans="2:45">
      <c r="B12" s="163" t="s">
        <v>1390</v>
      </c>
      <c r="C12" s="610" t="str">
        <f ca="1">IFERROR(C9/C11,"")</f>
        <v/>
      </c>
      <c r="L12" s="276"/>
      <c r="M12" s="821"/>
      <c r="N12" s="821"/>
      <c r="P12" s="2"/>
      <c r="U12" s="821"/>
      <c r="X12" s="2"/>
      <c r="Y12" s="919"/>
      <c r="AR12" t="s">
        <v>1391</v>
      </c>
      <c r="AS12" t="s">
        <v>1229</v>
      </c>
    </row>
    <row r="13" spans="2:45">
      <c r="B13" s="163" t="s">
        <v>1392</v>
      </c>
      <c r="C13" s="604"/>
      <c r="L13" s="276"/>
      <c r="M13" s="821"/>
      <c r="N13" s="821"/>
      <c r="P13" s="2"/>
      <c r="T13" t="s">
        <v>1393</v>
      </c>
      <c r="U13" s="2" t="e">
        <f>#REF!</f>
        <v>#REF!</v>
      </c>
      <c r="X13" s="2"/>
      <c r="Y13" s="919"/>
      <c r="AR13" t="s">
        <v>762</v>
      </c>
      <c r="AS13" t="s">
        <v>1227</v>
      </c>
    </row>
    <row r="14" spans="2:45">
      <c r="L14" s="2" t="s">
        <v>1394</v>
      </c>
      <c r="M14" s="821" t="e">
        <f ca="1">IF($M$1="FS",IF(AND(ISNUMBER(#REF!),ISNUMBER(#REF!)),((#REF!-#REF!+ABS(#REF!))/ABS(#REF!)-1)*100,""),"")</f>
        <v>#REF!</v>
      </c>
      <c r="N14" s="821" t="e">
        <f ca="1">IF($M$1="FS",IF(AND(ISNUMBER(#REF!),ISNUMBER(#REF!)),((#REF!-#REF!+ABS(#REF!))/ABS(#REF!)-1)*100,""),"")</f>
        <v>#REF!</v>
      </c>
      <c r="P14" s="2"/>
      <c r="T14" t="s">
        <v>1395</v>
      </c>
      <c r="U14" s="919" t="e">
        <f>IF(U13="D",IF(U9&gt;19,12,IF(U9&lt;-2,-2,0.6667*U9-0.6667)),IF(U13="E",IF(U9&gt;26,12,IF(U9&lt;-2,-2,0.5*U9-1)),""))</f>
        <v>#REF!</v>
      </c>
      <c r="AR14" t="s">
        <v>767</v>
      </c>
      <c r="AS14" t="s">
        <v>1229</v>
      </c>
    </row>
    <row r="15" spans="2:45">
      <c r="B15" t="s">
        <v>1396</v>
      </c>
      <c r="D15" s="1015" t="str">
        <f ca="1">IFERROR(IF(ISNUMBER(C13),C13*10,C9/C11*10),"")</f>
        <v/>
      </c>
      <c r="L15" s="2"/>
      <c r="P15" s="2"/>
      <c r="X15" s="2" t="s">
        <v>519</v>
      </c>
      <c r="AR15" t="s">
        <v>1397</v>
      </c>
      <c r="AS15" t="s">
        <v>1227</v>
      </c>
    </row>
    <row r="16" spans="2:45">
      <c r="L16" s="605" t="s">
        <v>1260</v>
      </c>
      <c r="M16" s="1016" t="e">
        <f ca="1">IF($M$1="FQ",IF(AND(ISNUMBER(M9),ISNUMBER(M10)),AVERAGE(M9:M10),""),IF($M$1="FS",M14,""))</f>
        <v>#REF!</v>
      </c>
      <c r="N16" s="1016" t="e">
        <f ca="1">IF($M$1="FQ",IF(AND(ISNUMBER(N9),ISNUMBER(N10)),AVERAGE(N9:N10),""),IF($M$1="FS",N14,""))</f>
        <v>#REF!</v>
      </c>
      <c r="P16" s="2"/>
      <c r="X16" s="2" t="e">
        <f>#REF!</f>
        <v>#REF!</v>
      </c>
      <c r="Y16" s="919" t="e">
        <f t="array" aca="1" ref="Y16" ca="1">INDIRECT($AL$1&amp;"!X82")</f>
        <v>#REF!</v>
      </c>
      <c r="AR16" t="s">
        <v>777</v>
      </c>
      <c r="AS16" t="s">
        <v>1227</v>
      </c>
    </row>
    <row r="17" spans="2:45">
      <c r="L17" s="2" t="s">
        <v>1389</v>
      </c>
      <c r="M17" s="821" t="e">
        <f ca="1">IF(M16="","",IF(M16&gt;70,12,IF(M16&lt;-50,-2,0.000000003*(M16)^5-0.0000001*(M16)^4-0.00002*(M16)^3+0.0006*(M16)^2+0.1436*(M16)+3.5234)))</f>
        <v>#REF!</v>
      </c>
      <c r="N17" s="821" t="e">
        <f ca="1">IF(N16="","",IF(N16&gt;70,12,IF(N16&lt;-50,-2,0.000000003*(N16)^5-0.0000001*(N16)^4-0.00002*(N16)^3+0.0006*(N16)^2+0.1436*(N16)+3.5234)))</f>
        <v>#REF!</v>
      </c>
      <c r="P17" s="2"/>
      <c r="X17" s="2" t="e">
        <f>#REF!</f>
        <v>#REF!</v>
      </c>
      <c r="Y17" s="919" t="e">
        <f t="array" aca="1" ref="Y17" ca="1">INDIRECT($AL$1&amp;"!X83")</f>
        <v>#REF!</v>
      </c>
      <c r="AR17" t="s">
        <v>783</v>
      </c>
      <c r="AS17" t="s">
        <v>1229</v>
      </c>
    </row>
    <row r="18" spans="2:45">
      <c r="L18" s="2" t="s">
        <v>1398</v>
      </c>
      <c r="M18" s="1017" t="e">
        <f ca="1">M16</f>
        <v>#REF!</v>
      </c>
      <c r="N18" s="1017" t="e">
        <f ca="1">N16</f>
        <v>#REF!</v>
      </c>
      <c r="P18" s="2"/>
      <c r="X18" s="2" t="e">
        <f>#REF!</f>
        <v>#REF!</v>
      </c>
      <c r="Y18" s="919" t="e">
        <f t="array" aca="1" ref="Y18" ca="1">INDIRECT($AL$1&amp;"!X86")</f>
        <v>#REF!</v>
      </c>
      <c r="AR18" t="s">
        <v>797</v>
      </c>
      <c r="AS18" t="s">
        <v>1227</v>
      </c>
    </row>
    <row r="19" spans="2:45">
      <c r="C19" s="2"/>
      <c r="D19" s="2"/>
      <c r="E19" s="2"/>
      <c r="F19" s="2"/>
      <c r="G19" s="2"/>
      <c r="H19" s="2"/>
      <c r="I19" s="2"/>
      <c r="J19" s="2"/>
      <c r="L19" s="2" t="s">
        <v>1389</v>
      </c>
      <c r="M19" s="821" t="e">
        <f>IF(#REF!="","",IF(#REF!&gt;76.8,12,IF(#REF!&lt;-76.8,-2,(0.000000004*(#REF!^5))+(0.000000000000000001*(#REF!^4))+(-0.00004*(#REF!^3))+(-0.00000000000002*(#REF!^2))+(0.1879*#REF!)+5)))</f>
        <v>#REF!</v>
      </c>
      <c r="N19" s="821" t="e">
        <f>IF(#REF!="","",IF(#REF!&gt;76.8,12,IF(#REF!&lt;-76.8,-2,(0.000000004*(#REF!^5))+(0.000000000000000001*(#REF!^4))+(-0.00004*(#REF!^3))+(-0.00000000000002*(#REF!^2))+(0.1879*#REF!)+5)))</f>
        <v>#REF!</v>
      </c>
      <c r="P19" s="2"/>
      <c r="AR19" t="s">
        <v>803</v>
      </c>
      <c r="AS19" t="s">
        <v>1227</v>
      </c>
    </row>
    <row r="20" spans="2:45">
      <c r="P20" s="2"/>
      <c r="X20" s="276" t="s">
        <v>1372</v>
      </c>
      <c r="Y20" s="919" t="e">
        <f ca="1">IF($M$1="FQ",IF(AND(ISNUMBER(Y16),ISNUMBER(Y18)),(Y18-Y16)/ABS(Y16)*100,""),"")</f>
        <v>#REF!</v>
      </c>
      <c r="AR20" t="s">
        <v>1399</v>
      </c>
      <c r="AS20" t="s">
        <v>1227</v>
      </c>
    </row>
    <row r="21" spans="2:45">
      <c r="L21" s="2" t="s">
        <v>1398</v>
      </c>
      <c r="M21" s="821" t="e">
        <f ca="1">M16</f>
        <v>#REF!</v>
      </c>
      <c r="N21" s="821" t="e">
        <f ca="1">N16</f>
        <v>#REF!</v>
      </c>
      <c r="P21" s="2"/>
      <c r="X21" s="603" t="s">
        <v>1375</v>
      </c>
      <c r="Y21" s="933" t="e">
        <f ca="1">IF($M$1="FQ",IF(AND(ISNUMBER(Y17),ISNUMBER(#REF!)),(#REF!-Y17)/ABS(Y17)*100,""),"")</f>
        <v>#REF!</v>
      </c>
      <c r="AR21" t="s">
        <v>1400</v>
      </c>
      <c r="AS21" t="s">
        <v>1227</v>
      </c>
    </row>
    <row r="22" spans="2:45">
      <c r="L22" s="2" t="s">
        <v>1401</v>
      </c>
      <c r="M22" s="1017" t="e">
        <f t="array" aca="1" ref="M22" ca="1">INDIRECT($AL$1&amp;"!M109")</f>
        <v>#REF!</v>
      </c>
      <c r="N22" s="1017" t="e">
        <f t="array" aca="1" ref="N22" ca="1">INDIRECT($AL$1&amp;"!C109")</f>
        <v>#REF!</v>
      </c>
      <c r="P22" s="2"/>
      <c r="X22" s="276" t="s">
        <v>1379</v>
      </c>
      <c r="Y22" s="919" t="e">
        <f ca="1">IF($M$1="FS",IF(AND(ISNUMBER(#REF!),ISNUMBER(#REF!)),(#REF!-#REF!)/ABS(#REF!)*100,""),"")</f>
        <v>#REF!</v>
      </c>
      <c r="AR22" t="s">
        <v>923</v>
      </c>
      <c r="AS22" t="s">
        <v>1229</v>
      </c>
    </row>
    <row r="23" spans="2:45">
      <c r="L23" s="605" t="s">
        <v>1402</v>
      </c>
      <c r="M23" s="1018" t="str">
        <f ca="1">IFERROR(M21-M22,"")</f>
        <v/>
      </c>
      <c r="N23" s="1018" t="str">
        <f ca="1">IFERROR(N21-N22,"")</f>
        <v/>
      </c>
      <c r="AR23" t="s">
        <v>982</v>
      </c>
      <c r="AS23" t="s">
        <v>1229</v>
      </c>
    </row>
    <row r="24" spans="2:45">
      <c r="L24" s="2" t="s">
        <v>1389</v>
      </c>
      <c r="M24" s="821" t="str">
        <f ca="1">IF(M23="","",IF(M23&gt;40,12,IF(M23&lt;-40,-2,0.175*(M23)+5)))</f>
        <v/>
      </c>
      <c r="N24" s="821" t="str">
        <f ca="1">IF(N23="","",IF(N23&gt;40,12,IF(N23&lt;-40,-2,0.175*(N23)+5)))</f>
        <v/>
      </c>
      <c r="X24" s="2" t="s">
        <v>1265</v>
      </c>
      <c r="Y24" s="1019" t="e">
        <f ca="1">IF($M$1="FQ",IF(AND(ISNUMBER(Y20),ISNUMBER(Y21)),AVERAGE(Y20:Y21),""),IF($M$1="FS",Y22,""))</f>
        <v>#REF!</v>
      </c>
      <c r="AR24" t="s">
        <v>988</v>
      </c>
      <c r="AS24" t="s">
        <v>1227</v>
      </c>
    </row>
    <row r="25" spans="2:45">
      <c r="X25" s="2" t="s">
        <v>1389</v>
      </c>
      <c r="Y25" s="919" t="str">
        <f ca="1">IF(ISNUMBER(Y24),IF(Y24&gt;41.78,12,IF(Y24&lt;-41.78,-2,(0.0000001*(Y24^5))+(0.000000000000000006*(Y24^4))+(-0.0003*(Y24^3))+(0.0000000000005*(Y24^2))+(0.3865*Y24)+5)),"")</f>
        <v/>
      </c>
      <c r="AR25" t="s">
        <v>990</v>
      </c>
      <c r="AS25" t="s">
        <v>1227</v>
      </c>
    </row>
    <row r="26" spans="2:45">
      <c r="AR26" t="s">
        <v>994</v>
      </c>
      <c r="AS26" t="s">
        <v>1227</v>
      </c>
    </row>
    <row r="27" spans="2:45">
      <c r="AR27" t="s">
        <v>998</v>
      </c>
      <c r="AS27" t="s">
        <v>1229</v>
      </c>
    </row>
    <row r="28" spans="2:45" outlineLevel="1">
      <c r="B28" s="606" t="s">
        <v>1403</v>
      </c>
      <c r="C28" s="5" t="s">
        <v>616</v>
      </c>
      <c r="D28" s="5" t="s">
        <v>1404</v>
      </c>
      <c r="E28" s="5" t="s">
        <v>760</v>
      </c>
      <c r="F28" s="5" t="s">
        <v>916</v>
      </c>
      <c r="G28" s="5" t="s">
        <v>1405</v>
      </c>
      <c r="H28" s="607">
        <f ca="1">TODAY()</f>
        <v>45553</v>
      </c>
      <c r="I28" s="5" t="s">
        <v>1406</v>
      </c>
      <c r="J28" s="5" t="s">
        <v>1407</v>
      </c>
      <c r="K28" s="5" t="s">
        <v>1408</v>
      </c>
      <c r="L28" s="5" t="s">
        <v>1382</v>
      </c>
      <c r="M28" s="41" t="s">
        <v>1385</v>
      </c>
      <c r="P28" s="1"/>
      <c r="AR28" t="s">
        <v>1000</v>
      </c>
      <c r="AS28" t="s">
        <v>1229</v>
      </c>
    </row>
    <row r="29" spans="2:45" outlineLevel="1">
      <c r="B29" s="608" t="e">
        <f ca="1">_xll.BDS('summary dupont'!B3&amp;" Equity","earn ann dt time hist with eps","cols=6;rows=111")</f>
        <v>#NAME?</v>
      </c>
      <c r="C29" s="1">
        <v>45589</v>
      </c>
      <c r="D29" s="609">
        <v>0.29166666666666669</v>
      </c>
      <c r="E29" t="s">
        <v>1120</v>
      </c>
      <c r="F29" t="s">
        <v>1120</v>
      </c>
      <c r="G29">
        <v>0.749</v>
      </c>
      <c r="H29">
        <f t="shared" ref="H29:H60" ca="1" si="0">IF(ISBLANK(B29),"",IF(C29&gt;$H$28,1,0))</f>
        <v>1</v>
      </c>
      <c r="I29" t="e">
        <f t="array" aca="1" ref="I29" ca="1">IF(ISBLANK(B29),"",_xll.BDH($B$2&amp;" equity","px last",C29-2,C29-2,"days=a","fill=p","points=1"))</f>
        <v>#NAME?</v>
      </c>
      <c r="J29" t="e">
        <f t="array" aca="1" ref="J29" ca="1">IF(ISBLANK(B29),"",_xll.BDH($B$2&amp;" equity","px last",C29+2,C29+2,"days=a","fill=p","points=1"))</f>
        <v>#NAME?</v>
      </c>
      <c r="K29" s="713" t="str">
        <f t="shared" ref="K29:K60" ca="1" si="1">IF(AND(H29=0,ISNUMBER(I29),ISNUMBER(J29)),J29/I29-1,"")</f>
        <v/>
      </c>
      <c r="L29" s="713" t="str">
        <f t="shared" ref="L29:L60" ca="1" si="2">IF(ISNUMBER(K29),IF(K29&gt;=0,K29,""),"")</f>
        <v/>
      </c>
      <c r="M29" s="741" t="str">
        <f t="shared" ref="M29:M60" ca="1" si="3">IF(ISNUMBER(K29),IF(K29&lt;0,K29,""),"")</f>
        <v/>
      </c>
      <c r="AR29" t="s">
        <v>1409</v>
      </c>
      <c r="AS29" t="s">
        <v>1229</v>
      </c>
    </row>
    <row r="30" spans="2:45" outlineLevel="1">
      <c r="B30" s="749" t="s">
        <v>1410</v>
      </c>
      <c r="C30" s="1">
        <v>45498</v>
      </c>
      <c r="D30" s="609">
        <v>0.29166666666666669</v>
      </c>
      <c r="E30" t="s">
        <v>1120</v>
      </c>
      <c r="F30" t="s">
        <v>1120</v>
      </c>
      <c r="G30" t="s">
        <v>1120</v>
      </c>
      <c r="H30">
        <f t="shared" ca="1" si="0"/>
        <v>0</v>
      </c>
      <c r="I30" t="e">
        <f t="array" aca="1" ref="I30" ca="1">IF(ISBLANK(B30),"",_xll.BDH($B$2&amp;" equity","px last",C30-2,C30-2,"days=a","fill=p","points=1"))</f>
        <v>#NAME?</v>
      </c>
      <c r="J30" t="e">
        <f t="array" aca="1" ref="J30" ca="1">IF(ISBLANK(B30),"",_xll.BDH($B$2&amp;" equity","px last",C30+2,C30+2,"days=a","fill=p","points=1"))</f>
        <v>#NAME?</v>
      </c>
      <c r="K30" s="713" t="str">
        <f t="shared" ca="1" si="1"/>
        <v/>
      </c>
      <c r="L30" s="713" t="str">
        <f t="shared" ca="1" si="2"/>
        <v/>
      </c>
      <c r="M30" s="741" t="str">
        <f t="shared" ca="1" si="3"/>
        <v/>
      </c>
      <c r="AR30" t="s">
        <v>1006</v>
      </c>
      <c r="AS30" t="s">
        <v>1229</v>
      </c>
    </row>
    <row r="31" spans="2:45" outlineLevel="1">
      <c r="B31" s="749" t="s">
        <v>1411</v>
      </c>
      <c r="C31" s="1">
        <v>45407</v>
      </c>
      <c r="D31" s="609">
        <v>0.29097222222222224</v>
      </c>
      <c r="E31">
        <v>0.44</v>
      </c>
      <c r="F31">
        <v>0.44</v>
      </c>
      <c r="G31">
        <v>0.46300000000000002</v>
      </c>
      <c r="H31">
        <f t="shared" ca="1" si="0"/>
        <v>0</v>
      </c>
      <c r="I31" t="e">
        <f t="array" aca="1" ref="I31" ca="1">IF(ISBLANK(B31),"",_xll.BDH($B$2&amp;" equity","px last",C31-2,C31-2,"days=a","fill=p","points=1"))</f>
        <v>#NAME?</v>
      </c>
      <c r="J31" t="e">
        <f t="array" aca="1" ref="J31" ca="1">IF(ISBLANK(B31),"",_xll.BDH($B$2&amp;" equity","px last",C31+2,C31+2,"days=a","fill=p","points=1"))</f>
        <v>#NAME?</v>
      </c>
      <c r="K31" s="713" t="str">
        <f t="shared" ca="1" si="1"/>
        <v/>
      </c>
      <c r="L31" s="713" t="str">
        <f t="shared" ca="1" si="2"/>
        <v/>
      </c>
      <c r="M31" s="741" t="str">
        <f t="shared" ca="1" si="3"/>
        <v/>
      </c>
      <c r="AR31" t="s">
        <v>1014</v>
      </c>
      <c r="AS31" t="s">
        <v>1229</v>
      </c>
    </row>
    <row r="32" spans="2:45" outlineLevel="1">
      <c r="B32" s="749" t="s">
        <v>1412</v>
      </c>
      <c r="C32" s="1">
        <v>45344</v>
      </c>
      <c r="D32" s="609" t="s">
        <v>1120</v>
      </c>
      <c r="E32">
        <v>2.2799999999999998</v>
      </c>
      <c r="F32">
        <v>2.23</v>
      </c>
      <c r="G32">
        <v>2.17</v>
      </c>
      <c r="H32">
        <f t="shared" ca="1" si="0"/>
        <v>0</v>
      </c>
      <c r="I32" t="e">
        <f t="array" aca="1" ref="I32" ca="1">IF(ISBLANK(B32),"",_xll.BDH($B$2&amp;" equity","px last",C32-2,C32-2,"days=a","fill=p","points=1"))</f>
        <v>#NAME?</v>
      </c>
      <c r="J32" t="e">
        <f t="array" aca="1" ref="J32" ca="1">IF(ISBLANK(B32),"",_xll.BDH($B$2&amp;" equity","px last",C32+2,C32+2,"days=a","fill=p","points=1"))</f>
        <v>#NAME?</v>
      </c>
      <c r="K32" s="713" t="str">
        <f t="shared" ca="1" si="1"/>
        <v/>
      </c>
      <c r="L32" s="713" t="str">
        <f t="shared" ca="1" si="2"/>
        <v/>
      </c>
      <c r="M32" s="741" t="str">
        <f t="shared" ca="1" si="3"/>
        <v/>
      </c>
      <c r="AR32" t="s">
        <v>1042</v>
      </c>
      <c r="AS32" t="s">
        <v>1227</v>
      </c>
    </row>
    <row r="33" spans="2:45" outlineLevel="1">
      <c r="B33" s="749" t="s">
        <v>1413</v>
      </c>
      <c r="C33" s="1">
        <v>45225</v>
      </c>
      <c r="D33" s="609">
        <v>0.29097222222222224</v>
      </c>
      <c r="E33">
        <v>0.45</v>
      </c>
      <c r="F33">
        <v>0.45</v>
      </c>
      <c r="G33">
        <v>0.437</v>
      </c>
      <c r="H33">
        <f t="shared" ca="1" si="0"/>
        <v>0</v>
      </c>
      <c r="I33" t="e">
        <f t="array" aca="1" ref="I33" ca="1">IF(ISBLANK(B33),"",_xll.BDH($B$2&amp;" equity","px last",C33-2,C33-2,"days=a","fill=p","points=1"))</f>
        <v>#NAME?</v>
      </c>
      <c r="J33" t="e">
        <f t="array" aca="1" ref="J33" ca="1">IF(ISBLANK(B33),"",_xll.BDH($B$2&amp;" equity","px last",C33+2,C33+2,"days=a","fill=p","points=1"))</f>
        <v>#NAME?</v>
      </c>
      <c r="K33" s="713" t="str">
        <f t="shared" ca="1" si="1"/>
        <v/>
      </c>
      <c r="L33" s="713" t="str">
        <f t="shared" ca="1" si="2"/>
        <v/>
      </c>
      <c r="M33" s="741" t="str">
        <f t="shared" ca="1" si="3"/>
        <v/>
      </c>
      <c r="AR33" t="s">
        <v>1118</v>
      </c>
      <c r="AS33" t="s">
        <v>1229</v>
      </c>
    </row>
    <row r="34" spans="2:45" outlineLevel="1">
      <c r="B34" s="749" t="s">
        <v>1414</v>
      </c>
      <c r="C34" s="1">
        <v>45134</v>
      </c>
      <c r="D34" s="609">
        <v>0.29097222222222224</v>
      </c>
      <c r="E34">
        <v>1.1200000000000001</v>
      </c>
      <c r="F34">
        <v>1.1200000000000001</v>
      </c>
      <c r="G34" t="s">
        <v>1120</v>
      </c>
      <c r="H34">
        <f t="shared" ca="1" si="0"/>
        <v>0</v>
      </c>
      <c r="I34" t="e">
        <f t="array" aca="1" ref="I34" ca="1">IF(ISBLANK(B34),"",_xll.BDH($B$2&amp;" equity","px last",C34-2,C34-2,"days=a","fill=p","points=1"))</f>
        <v>#NAME?</v>
      </c>
      <c r="J34" t="e">
        <f t="array" aca="1" ref="J34" ca="1">IF(ISBLANK(B34),"",_xll.BDH($B$2&amp;" equity","px last",C34+2,C34+2,"days=a","fill=p","points=1"))</f>
        <v>#NAME?</v>
      </c>
      <c r="K34" s="713" t="str">
        <f t="shared" ca="1" si="1"/>
        <v/>
      </c>
      <c r="L34" s="713" t="str">
        <f t="shared" ca="1" si="2"/>
        <v/>
      </c>
      <c r="M34" s="741" t="str">
        <f t="shared" ca="1" si="3"/>
        <v/>
      </c>
      <c r="AR34" t="s">
        <v>1121</v>
      </c>
      <c r="AS34" t="s">
        <v>1229</v>
      </c>
    </row>
    <row r="35" spans="2:45" outlineLevel="1">
      <c r="B35" s="749" t="s">
        <v>1415</v>
      </c>
      <c r="C35" s="1">
        <v>45042</v>
      </c>
      <c r="D35" s="609">
        <v>0.29097222222222224</v>
      </c>
      <c r="E35">
        <v>0.44</v>
      </c>
      <c r="F35">
        <v>0.44</v>
      </c>
      <c r="G35">
        <v>0.38200000000000001</v>
      </c>
      <c r="H35">
        <f t="shared" ca="1" si="0"/>
        <v>0</v>
      </c>
      <c r="I35" t="e">
        <f t="array" aca="1" ref="I35" ca="1">IF(ISBLANK(B35),"",_xll.BDH($B$2&amp;" equity","px last",C35-2,C35-2,"days=a","fill=p","points=1"))</f>
        <v>#NAME?</v>
      </c>
      <c r="J35" t="e">
        <f t="array" aca="1" ref="J35" ca="1">IF(ISBLANK(B35),"",_xll.BDH($B$2&amp;" equity","px last",C35+2,C35+2,"days=a","fill=p","points=1"))</f>
        <v>#NAME?</v>
      </c>
      <c r="K35" s="713" t="str">
        <f t="shared" ca="1" si="1"/>
        <v/>
      </c>
      <c r="L35" s="713" t="str">
        <f t="shared" ca="1" si="2"/>
        <v/>
      </c>
      <c r="M35" s="741" t="str">
        <f t="shared" ca="1" si="3"/>
        <v/>
      </c>
      <c r="AR35" t="s">
        <v>1123</v>
      </c>
      <c r="AS35" t="s">
        <v>1227</v>
      </c>
    </row>
    <row r="36" spans="2:45" outlineLevel="1">
      <c r="B36" s="749" t="s">
        <v>1416</v>
      </c>
      <c r="C36" s="1">
        <v>44979</v>
      </c>
      <c r="D36" s="609">
        <v>0.29166666666666669</v>
      </c>
      <c r="E36">
        <v>3.03</v>
      </c>
      <c r="F36">
        <v>2.9</v>
      </c>
      <c r="G36">
        <v>2.9089999999999998</v>
      </c>
      <c r="H36">
        <f t="shared" ca="1" si="0"/>
        <v>0</v>
      </c>
      <c r="I36" t="e">
        <f t="array" aca="1" ref="I36" ca="1">IF(ISBLANK(B36),"",_xll.BDH($B$2&amp;" equity","px last",C36-2,C36-2,"days=a","fill=p","points=1"))</f>
        <v>#NAME?</v>
      </c>
      <c r="J36" t="e">
        <f t="array" aca="1" ref="J36" ca="1">IF(ISBLANK(B36),"",_xll.BDH($B$2&amp;" equity","px last",C36+2,C36+2,"days=a","fill=p","points=1"))</f>
        <v>#NAME?</v>
      </c>
      <c r="K36" s="713" t="str">
        <f t="shared" ca="1" si="1"/>
        <v/>
      </c>
      <c r="L36" s="713" t="str">
        <f t="shared" ca="1" si="2"/>
        <v/>
      </c>
      <c r="M36" s="741" t="str">
        <f t="shared" ca="1" si="3"/>
        <v/>
      </c>
      <c r="AR36" t="s">
        <v>1130</v>
      </c>
      <c r="AS36" t="s">
        <v>1229</v>
      </c>
    </row>
    <row r="37" spans="2:45" outlineLevel="1">
      <c r="B37" s="749" t="s">
        <v>1417</v>
      </c>
      <c r="C37" s="1">
        <v>44854</v>
      </c>
      <c r="D37" s="609" t="s">
        <v>1120</v>
      </c>
      <c r="E37">
        <v>0.71</v>
      </c>
      <c r="F37">
        <v>0.69</v>
      </c>
      <c r="G37">
        <v>0.61799999999999999</v>
      </c>
      <c r="H37">
        <f t="shared" ca="1" si="0"/>
        <v>0</v>
      </c>
      <c r="I37" t="e">
        <f t="array" aca="1" ref="I37" ca="1">IF(ISBLANK(B37),"",_xll.BDH($B$2&amp;" equity","px last",C37-2,C37-2,"days=a","fill=p","points=1"))</f>
        <v>#NAME?</v>
      </c>
      <c r="J37" t="e">
        <f t="array" aca="1" ref="J37" ca="1">IF(ISBLANK(B37),"",_xll.BDH($B$2&amp;" equity","px last",C37+2,C37+2,"days=a","fill=p","points=1"))</f>
        <v>#NAME?</v>
      </c>
      <c r="K37" s="713" t="str">
        <f t="shared" ca="1" si="1"/>
        <v/>
      </c>
      <c r="L37" s="713" t="str">
        <f t="shared" ca="1" si="2"/>
        <v/>
      </c>
      <c r="M37" s="741" t="str">
        <f t="shared" ca="1" si="3"/>
        <v/>
      </c>
      <c r="AR37" t="s">
        <v>1136</v>
      </c>
      <c r="AS37" t="s">
        <v>1227</v>
      </c>
    </row>
    <row r="38" spans="2:45" outlineLevel="1">
      <c r="B38" s="749" t="s">
        <v>1418</v>
      </c>
      <c r="C38" s="1">
        <v>44763</v>
      </c>
      <c r="D38" s="609">
        <v>0.28472222222222221</v>
      </c>
      <c r="E38">
        <v>1.81</v>
      </c>
      <c r="F38">
        <v>1.81</v>
      </c>
      <c r="G38" t="s">
        <v>1120</v>
      </c>
      <c r="H38">
        <f t="shared" ca="1" si="0"/>
        <v>0</v>
      </c>
      <c r="I38" t="e">
        <f t="array" aca="1" ref="I38" ca="1">IF(ISBLANK(B38),"",_xll.BDH($B$2&amp;" equity","px last",C38-2,C38-2,"days=a","fill=p","points=1"))</f>
        <v>#NAME?</v>
      </c>
      <c r="J38" t="e">
        <f t="array" aca="1" ref="J38" ca="1">IF(ISBLANK(B38),"",_xll.BDH($B$2&amp;" equity","px last",C38+2,C38+2,"days=a","fill=p","points=1"))</f>
        <v>#NAME?</v>
      </c>
      <c r="K38" s="713" t="str">
        <f t="shared" ca="1" si="1"/>
        <v/>
      </c>
      <c r="L38" s="713" t="str">
        <f t="shared" ca="1" si="2"/>
        <v/>
      </c>
      <c r="M38" s="741" t="str">
        <f t="shared" ca="1" si="3"/>
        <v/>
      </c>
      <c r="AR38" t="s">
        <v>1138</v>
      </c>
      <c r="AS38" t="s">
        <v>1227</v>
      </c>
    </row>
    <row r="39" spans="2:45" outlineLevel="1">
      <c r="B39" s="749" t="s">
        <v>1419</v>
      </c>
      <c r="C39" s="1">
        <v>44680</v>
      </c>
      <c r="D39" s="609">
        <v>0.37361111111111112</v>
      </c>
      <c r="E39">
        <v>0.87</v>
      </c>
      <c r="F39">
        <v>0.81</v>
      </c>
      <c r="G39">
        <v>0.79</v>
      </c>
      <c r="H39">
        <f t="shared" ca="1" si="0"/>
        <v>0</v>
      </c>
      <c r="I39" t="e">
        <f t="array" aca="1" ref="I39" ca="1">IF(ISBLANK(B39),"",_xll.BDH($B$2&amp;" equity","px last",C39-2,C39-2,"days=a","fill=p","points=1"))</f>
        <v>#NAME?</v>
      </c>
      <c r="J39" t="e">
        <f t="array" aca="1" ref="J39" ca="1">IF(ISBLANK(B39),"",_xll.BDH($B$2&amp;" equity","px last",C39+2,C39+2,"days=a","fill=p","points=1"))</f>
        <v>#NAME?</v>
      </c>
      <c r="K39" s="713" t="str">
        <f t="shared" ca="1" si="1"/>
        <v/>
      </c>
      <c r="L39" s="713" t="str">
        <f t="shared" ca="1" si="2"/>
        <v/>
      </c>
      <c r="M39" s="741" t="str">
        <f t="shared" ca="1" si="3"/>
        <v/>
      </c>
      <c r="AR39" t="s">
        <v>1144</v>
      </c>
      <c r="AS39" t="s">
        <v>1229</v>
      </c>
    </row>
    <row r="40" spans="2:45" outlineLevel="1">
      <c r="B40" s="749" t="s">
        <v>1420</v>
      </c>
      <c r="C40" s="1">
        <v>44610</v>
      </c>
      <c r="D40" s="609">
        <v>0.28125</v>
      </c>
      <c r="E40">
        <v>3.6987000000000001</v>
      </c>
      <c r="F40">
        <v>3.39</v>
      </c>
      <c r="G40">
        <v>3.2490000000000001</v>
      </c>
      <c r="H40">
        <f t="shared" ca="1" si="0"/>
        <v>0</v>
      </c>
      <c r="I40" t="e">
        <f t="array" aca="1" ref="I40" ca="1">IF(ISBLANK(B40),"",_xll.BDH($B$2&amp;" equity","px last",C40-2,C40-2,"days=a","fill=p","points=1"))</f>
        <v>#NAME?</v>
      </c>
      <c r="J40" t="e">
        <f t="array" aca="1" ref="J40" ca="1">IF(ISBLANK(B40),"",_xll.BDH($B$2&amp;" equity","px last",C40+2,C40+2,"days=a","fill=p","points=1"))</f>
        <v>#NAME?</v>
      </c>
      <c r="K40" s="713" t="str">
        <f t="shared" ca="1" si="1"/>
        <v/>
      </c>
      <c r="L40" s="713" t="str">
        <f t="shared" ca="1" si="2"/>
        <v/>
      </c>
      <c r="M40" s="741" t="str">
        <f t="shared" ca="1" si="3"/>
        <v/>
      </c>
      <c r="AR40" t="s">
        <v>1147</v>
      </c>
      <c r="AS40" t="s">
        <v>1229</v>
      </c>
    </row>
    <row r="41" spans="2:45" outlineLevel="1">
      <c r="B41" s="749" t="s">
        <v>1421</v>
      </c>
      <c r="C41" s="1">
        <v>44495</v>
      </c>
      <c r="D41" s="609">
        <v>0.27777777777777779</v>
      </c>
      <c r="E41">
        <v>1.08</v>
      </c>
      <c r="F41">
        <v>1</v>
      </c>
      <c r="G41">
        <v>0.995</v>
      </c>
      <c r="H41">
        <f t="shared" ca="1" si="0"/>
        <v>0</v>
      </c>
      <c r="I41" t="e">
        <f t="array" aca="1" ref="I41" ca="1">IF(ISBLANK(B41),"",_xll.BDH($B$2&amp;" equity","px last",C41-2,C41-2,"days=a","fill=p","points=1"))</f>
        <v>#NAME?</v>
      </c>
      <c r="J41" t="e">
        <f t="array" aca="1" ref="J41" ca="1">IF(ISBLANK(B41),"",_xll.BDH($B$2&amp;" equity","px last",C41+2,C41+2,"days=a","fill=p","points=1"))</f>
        <v>#NAME?</v>
      </c>
      <c r="K41" s="713" t="str">
        <f t="shared" ca="1" si="1"/>
        <v/>
      </c>
      <c r="L41" s="713" t="str">
        <f t="shared" ca="1" si="2"/>
        <v/>
      </c>
      <c r="M41" s="741" t="str">
        <f t="shared" ca="1" si="3"/>
        <v/>
      </c>
      <c r="AR41" t="s">
        <v>1151</v>
      </c>
      <c r="AS41" t="s">
        <v>1229</v>
      </c>
    </row>
    <row r="42" spans="2:45" outlineLevel="1">
      <c r="B42" s="749" t="s">
        <v>1422</v>
      </c>
      <c r="C42" s="1">
        <v>44404</v>
      </c>
      <c r="D42" s="609">
        <v>0.39999999999999997</v>
      </c>
      <c r="E42">
        <v>1.76</v>
      </c>
      <c r="F42">
        <v>1.58</v>
      </c>
      <c r="G42" t="s">
        <v>1120</v>
      </c>
      <c r="H42">
        <f t="shared" ca="1" si="0"/>
        <v>0</v>
      </c>
      <c r="I42" t="e">
        <f t="array" aca="1" ref="I42" ca="1">IF(ISBLANK(B42),"",_xll.BDH($B$2&amp;" equity","px last",C42-2,C42-2,"days=a","fill=p","points=1"))</f>
        <v>#NAME?</v>
      </c>
      <c r="J42" t="e">
        <f t="array" aca="1" ref="J42" ca="1">IF(ISBLANK(B42),"",_xll.BDH($B$2&amp;" equity","px last",C42+2,C42+2,"days=a","fill=p","points=1"))</f>
        <v>#NAME?</v>
      </c>
      <c r="K42" s="713" t="str">
        <f t="shared" ca="1" si="1"/>
        <v/>
      </c>
      <c r="L42" s="713" t="str">
        <f t="shared" ca="1" si="2"/>
        <v/>
      </c>
      <c r="M42" s="741" t="str">
        <f t="shared" ca="1" si="3"/>
        <v/>
      </c>
      <c r="AR42" t="s">
        <v>1154</v>
      </c>
      <c r="AS42" t="s">
        <v>1229</v>
      </c>
    </row>
    <row r="43" spans="2:45" outlineLevel="1">
      <c r="B43" s="749" t="s">
        <v>1423</v>
      </c>
      <c r="C43" s="1">
        <v>44316</v>
      </c>
      <c r="D43" s="609">
        <v>0.40277777777777773</v>
      </c>
      <c r="E43">
        <v>0.51</v>
      </c>
      <c r="F43">
        <v>0.47</v>
      </c>
      <c r="G43">
        <v>0.53</v>
      </c>
      <c r="H43">
        <f t="shared" ca="1" si="0"/>
        <v>0</v>
      </c>
      <c r="I43" t="e">
        <f t="array" aca="1" ref="I43" ca="1">IF(ISBLANK(B43),"",_xll.BDH($B$2&amp;" equity","px last",C43-2,C43-2,"days=a","fill=p","points=1"))</f>
        <v>#NAME?</v>
      </c>
      <c r="J43" t="e">
        <f t="array" aca="1" ref="J43" ca="1">IF(ISBLANK(B43),"",_xll.BDH($B$2&amp;" equity","px last",C43+2,C43+2,"days=a","fill=p","points=1"))</f>
        <v>#NAME?</v>
      </c>
      <c r="K43" s="713" t="str">
        <f t="shared" ca="1" si="1"/>
        <v/>
      </c>
      <c r="L43" s="713" t="str">
        <f t="shared" ca="1" si="2"/>
        <v/>
      </c>
      <c r="M43" s="741" t="str">
        <f t="shared" ca="1" si="3"/>
        <v/>
      </c>
      <c r="AR43" t="s">
        <v>1216</v>
      </c>
      <c r="AS43" t="s">
        <v>1227</v>
      </c>
    </row>
    <row r="44" spans="2:45" outlineLevel="1">
      <c r="B44" s="749" t="s">
        <v>1424</v>
      </c>
      <c r="C44" s="1">
        <v>44246</v>
      </c>
      <c r="D44" s="609">
        <v>0.37638888888888888</v>
      </c>
      <c r="E44">
        <v>1.7946</v>
      </c>
      <c r="F44">
        <v>1.67</v>
      </c>
      <c r="G44">
        <v>1.5840000000000001</v>
      </c>
      <c r="H44">
        <f t="shared" ca="1" si="0"/>
        <v>0</v>
      </c>
      <c r="I44" t="e">
        <f t="array" aca="1" ref="I44" ca="1">IF(ISBLANK(B44),"",_xll.BDH($B$2&amp;" equity","px last",C44-2,C44-2,"days=a","fill=p","points=1"))</f>
        <v>#NAME?</v>
      </c>
      <c r="J44" t="e">
        <f t="array" aca="1" ref="J44" ca="1">IF(ISBLANK(B44),"",_xll.BDH($B$2&amp;" equity","px last",C44+2,C44+2,"days=a","fill=p","points=1"))</f>
        <v>#NAME?</v>
      </c>
      <c r="K44" s="713" t="str">
        <f t="shared" ca="1" si="1"/>
        <v/>
      </c>
      <c r="L44" s="713" t="str">
        <f t="shared" ca="1" si="2"/>
        <v/>
      </c>
      <c r="M44" s="741" t="str">
        <f t="shared" ca="1" si="3"/>
        <v/>
      </c>
      <c r="AR44" t="s">
        <v>1180</v>
      </c>
      <c r="AS44" t="s">
        <v>1229</v>
      </c>
    </row>
    <row r="45" spans="2:45" outlineLevel="1">
      <c r="B45" s="749" t="s">
        <v>1425</v>
      </c>
      <c r="C45" s="1">
        <v>44126</v>
      </c>
      <c r="D45" s="609">
        <v>0.29305555555555557</v>
      </c>
      <c r="E45">
        <v>0.47</v>
      </c>
      <c r="F45">
        <v>0.43</v>
      </c>
      <c r="G45">
        <v>0.36699999999999999</v>
      </c>
      <c r="H45">
        <f t="shared" ca="1" si="0"/>
        <v>0</v>
      </c>
      <c r="I45" t="e">
        <f t="array" aca="1" ref="I45" ca="1">IF(ISBLANK(B45),"",_xll.BDH($B$2&amp;" equity","px last",C45-2,C45-2,"days=a","fill=p","points=1"))</f>
        <v>#NAME?</v>
      </c>
      <c r="J45" t="e">
        <f t="array" aca="1" ref="J45" ca="1">IF(ISBLANK(B45),"",_xll.BDH($B$2&amp;" equity","px last",C45+2,C45+2,"days=a","fill=p","points=1"))</f>
        <v>#NAME?</v>
      </c>
      <c r="K45" s="713" t="str">
        <f t="shared" ca="1" si="1"/>
        <v/>
      </c>
      <c r="L45" s="713" t="str">
        <f t="shared" ca="1" si="2"/>
        <v/>
      </c>
      <c r="M45" s="741" t="str">
        <f t="shared" ca="1" si="3"/>
        <v/>
      </c>
      <c r="AR45" t="s">
        <v>1001</v>
      </c>
      <c r="AS45" t="s">
        <v>1229</v>
      </c>
    </row>
    <row r="46" spans="2:45" outlineLevel="1">
      <c r="B46" s="749" t="s">
        <v>1426</v>
      </c>
      <c r="C46" s="1">
        <v>44040</v>
      </c>
      <c r="D46" s="609">
        <v>0.3666666666666667</v>
      </c>
      <c r="E46">
        <v>0.74</v>
      </c>
      <c r="F46">
        <v>0.69</v>
      </c>
      <c r="G46" t="s">
        <v>1120</v>
      </c>
      <c r="H46">
        <f t="shared" ca="1" si="0"/>
        <v>0</v>
      </c>
      <c r="I46" t="e">
        <f t="array" aca="1" ref="I46" ca="1">IF(ISBLANK(B46),"",_xll.BDH($B$2&amp;" equity","px last",C46-2,C46-2,"days=a","fill=p","points=1"))</f>
        <v>#NAME?</v>
      </c>
      <c r="J46" t="e">
        <f t="array" aca="1" ref="J46" ca="1">IF(ISBLANK(B46),"",_xll.BDH($B$2&amp;" equity","px last",C46+2,C46+2,"days=a","fill=p","points=1"))</f>
        <v>#NAME?</v>
      </c>
      <c r="K46" s="713" t="str">
        <f t="shared" ca="1" si="1"/>
        <v/>
      </c>
      <c r="L46" s="713" t="str">
        <f t="shared" ca="1" si="2"/>
        <v/>
      </c>
      <c r="M46" s="741" t="str">
        <f t="shared" ca="1" si="3"/>
        <v/>
      </c>
      <c r="AR46" t="s">
        <v>509</v>
      </c>
      <c r="AS46" t="s">
        <v>1229</v>
      </c>
    </row>
    <row r="47" spans="2:45" outlineLevel="1">
      <c r="B47" s="749" t="s">
        <v>1427</v>
      </c>
      <c r="C47" s="1">
        <v>43951</v>
      </c>
      <c r="D47" s="609">
        <v>0.34027777777777773</v>
      </c>
      <c r="E47">
        <v>0.19</v>
      </c>
      <c r="F47">
        <v>0.19</v>
      </c>
      <c r="G47">
        <v>0.14299999999999999</v>
      </c>
      <c r="H47">
        <f t="shared" ca="1" si="0"/>
        <v>0</v>
      </c>
      <c r="I47" t="e">
        <f t="array" aca="1" ref="I47" ca="1">IF(ISBLANK(B47),"",_xll.BDH($B$2&amp;" equity","px last",C47-2,C47-2,"days=a","fill=p","points=1"))</f>
        <v>#NAME?</v>
      </c>
      <c r="J47" t="e">
        <f t="array" aca="1" ref="J47" ca="1">IF(ISBLANK(B47),"",_xll.BDH($B$2&amp;" equity","px last",C47+2,C47+2,"days=a","fill=p","points=1"))</f>
        <v>#NAME?</v>
      </c>
      <c r="K47" s="713" t="str">
        <f t="shared" ca="1" si="1"/>
        <v/>
      </c>
      <c r="L47" s="713" t="str">
        <f t="shared" ca="1" si="2"/>
        <v/>
      </c>
      <c r="M47" s="741" t="str">
        <f t="shared" ca="1" si="3"/>
        <v/>
      </c>
      <c r="AR47" t="s">
        <v>811</v>
      </c>
      <c r="AS47" t="s">
        <v>1229</v>
      </c>
    </row>
    <row r="48" spans="2:45" outlineLevel="1">
      <c r="B48" s="749" t="s">
        <v>1428</v>
      </c>
      <c r="C48" s="1">
        <v>43881</v>
      </c>
      <c r="D48" s="609">
        <v>0.40069444444444446</v>
      </c>
      <c r="E48">
        <v>1.1225000000000001</v>
      </c>
      <c r="F48">
        <v>1.06</v>
      </c>
      <c r="G48">
        <v>0.9</v>
      </c>
      <c r="H48">
        <f t="shared" ca="1" si="0"/>
        <v>0</v>
      </c>
      <c r="I48" t="e">
        <f t="array" aca="1" ref="I48" ca="1">IF(ISBLANK(B48),"",_xll.BDH($B$2&amp;" equity","px last",C48-2,C48-2,"days=a","fill=p","points=1"))</f>
        <v>#NAME?</v>
      </c>
      <c r="J48" t="e">
        <f t="array" aca="1" ref="J48" ca="1">IF(ISBLANK(B48),"",_xll.BDH($B$2&amp;" equity","px last",C48+2,C48+2,"days=a","fill=p","points=1"))</f>
        <v>#NAME?</v>
      </c>
      <c r="K48" s="713" t="str">
        <f t="shared" ca="1" si="1"/>
        <v/>
      </c>
      <c r="L48" s="713" t="str">
        <f t="shared" ca="1" si="2"/>
        <v/>
      </c>
      <c r="M48" s="741" t="str">
        <f t="shared" ca="1" si="3"/>
        <v/>
      </c>
      <c r="AR48" t="s">
        <v>573</v>
      </c>
      <c r="AS48" t="s">
        <v>1227</v>
      </c>
    </row>
    <row r="49" spans="2:45" outlineLevel="1">
      <c r="B49" s="749" t="s">
        <v>1429</v>
      </c>
      <c r="C49" s="1">
        <v>43762</v>
      </c>
      <c r="D49" s="609" t="s">
        <v>1120</v>
      </c>
      <c r="E49">
        <v>0.26</v>
      </c>
      <c r="F49">
        <v>0.25</v>
      </c>
      <c r="G49">
        <v>0.19700000000000001</v>
      </c>
      <c r="H49">
        <f t="shared" ca="1" si="0"/>
        <v>0</v>
      </c>
      <c r="I49" t="e">
        <f t="array" aca="1" ref="I49" ca="1">IF(ISBLANK(B49),"",_xll.BDH($B$2&amp;" equity","px last",C49-2,C49-2,"days=a","fill=p","points=1"))</f>
        <v>#NAME?</v>
      </c>
      <c r="J49" t="e">
        <f t="array" aca="1" ref="J49" ca="1">IF(ISBLANK(B49),"",_xll.BDH($B$2&amp;" equity","px last",C49+2,C49+2,"days=a","fill=p","points=1"))</f>
        <v>#NAME?</v>
      </c>
      <c r="K49" s="713" t="str">
        <f t="shared" ca="1" si="1"/>
        <v/>
      </c>
      <c r="L49" s="713" t="str">
        <f t="shared" ca="1" si="2"/>
        <v/>
      </c>
      <c r="M49" s="741" t="str">
        <f t="shared" ca="1" si="3"/>
        <v/>
      </c>
      <c r="AR49" t="s">
        <v>805</v>
      </c>
      <c r="AS49" t="s">
        <v>1229</v>
      </c>
    </row>
    <row r="50" spans="2:45" outlineLevel="1">
      <c r="B50" s="749" t="s">
        <v>1430</v>
      </c>
      <c r="C50" s="1">
        <v>43671</v>
      </c>
      <c r="D50" s="609" t="s">
        <v>1120</v>
      </c>
      <c r="E50">
        <v>0.39</v>
      </c>
      <c r="F50">
        <v>0.38</v>
      </c>
      <c r="G50" t="s">
        <v>1120</v>
      </c>
      <c r="H50">
        <f t="shared" ca="1" si="0"/>
        <v>0</v>
      </c>
      <c r="I50" t="e">
        <f t="array" aca="1" ref="I50" ca="1">IF(ISBLANK(B50),"",_xll.BDH($B$2&amp;" equity","px last",C50-2,C50-2,"days=a","fill=p","points=1"))</f>
        <v>#NAME?</v>
      </c>
      <c r="J50" t="e">
        <f t="array" aca="1" ref="J50" ca="1">IF(ISBLANK(B50),"",_xll.BDH($B$2&amp;" equity","px last",C50+2,C50+2,"days=a","fill=p","points=1"))</f>
        <v>#NAME?</v>
      </c>
      <c r="K50" s="713" t="str">
        <f t="shared" ca="1" si="1"/>
        <v/>
      </c>
      <c r="L50" s="713" t="str">
        <f t="shared" ca="1" si="2"/>
        <v/>
      </c>
      <c r="M50" s="741" t="str">
        <f t="shared" ca="1" si="3"/>
        <v/>
      </c>
    </row>
    <row r="51" spans="2:45" outlineLevel="1">
      <c r="B51" s="749" t="s">
        <v>1431</v>
      </c>
      <c r="C51" s="1">
        <v>43581</v>
      </c>
      <c r="D51" s="609">
        <v>0.35416666666666669</v>
      </c>
      <c r="E51">
        <v>0.13</v>
      </c>
      <c r="F51">
        <v>0.13</v>
      </c>
      <c r="G51">
        <v>0.14299999999999999</v>
      </c>
      <c r="H51">
        <f t="shared" ca="1" si="0"/>
        <v>0</v>
      </c>
      <c r="I51" t="e">
        <f t="array" aca="1" ref="I51" ca="1">IF(ISBLANK(B51),"",_xll.BDH($B$2&amp;" equity","px last",C51-2,C51-2,"days=a","fill=p","points=1"))</f>
        <v>#NAME?</v>
      </c>
      <c r="J51" t="e">
        <f t="array" aca="1" ref="J51" ca="1">IF(ISBLANK(B51),"",_xll.BDH($B$2&amp;" equity","px last",C51+2,C51+2,"days=a","fill=p","points=1"))</f>
        <v>#NAME?</v>
      </c>
      <c r="K51" s="713" t="str">
        <f t="shared" ca="1" si="1"/>
        <v/>
      </c>
      <c r="L51" s="713" t="str">
        <f t="shared" ca="1" si="2"/>
        <v/>
      </c>
      <c r="M51" s="741" t="str">
        <f t="shared" ca="1" si="3"/>
        <v/>
      </c>
    </row>
    <row r="52" spans="2:45" outlineLevel="1">
      <c r="B52" s="749" t="s">
        <v>1432</v>
      </c>
      <c r="C52" s="1">
        <v>43516</v>
      </c>
      <c r="D52" s="609">
        <v>0.34097222222222223</v>
      </c>
      <c r="E52">
        <v>1.84</v>
      </c>
      <c r="F52">
        <v>1.68</v>
      </c>
      <c r="G52">
        <v>1.6339999999999999</v>
      </c>
      <c r="H52">
        <f t="shared" ca="1" si="0"/>
        <v>0</v>
      </c>
      <c r="I52" t="e">
        <f t="array" aca="1" ref="I52" ca="1">IF(ISBLANK(B52),"",_xll.BDH($B$2&amp;" equity","px last",C52-2,C52-2,"days=a","fill=p","points=1"))</f>
        <v>#NAME?</v>
      </c>
      <c r="J52" t="e">
        <f t="array" aca="1" ref="J52" ca="1">IF(ISBLANK(B52),"",_xll.BDH($B$2&amp;" equity","px last",C52+2,C52+2,"days=a","fill=p","points=1"))</f>
        <v>#NAME?</v>
      </c>
      <c r="K52" s="713" t="str">
        <f t="shared" ca="1" si="1"/>
        <v/>
      </c>
      <c r="L52" s="713" t="str">
        <f t="shared" ca="1" si="2"/>
        <v/>
      </c>
      <c r="M52" s="741" t="str">
        <f t="shared" ca="1" si="3"/>
        <v/>
      </c>
    </row>
    <row r="53" spans="2:45" outlineLevel="1">
      <c r="B53" s="749" t="s">
        <v>1433</v>
      </c>
      <c r="C53" s="1">
        <v>43398</v>
      </c>
      <c r="D53" s="609">
        <v>0.29166666666666669</v>
      </c>
      <c r="E53">
        <v>0.39</v>
      </c>
      <c r="F53">
        <v>0.37</v>
      </c>
      <c r="G53">
        <v>0.317</v>
      </c>
      <c r="H53">
        <f t="shared" ca="1" si="0"/>
        <v>0</v>
      </c>
      <c r="I53" t="e">
        <f t="array" aca="1" ref="I53" ca="1">IF(ISBLANK(B53),"",_xll.BDH($B$2&amp;" equity","px last",C53-2,C53-2,"days=a","fill=p","points=1"))</f>
        <v>#NAME?</v>
      </c>
      <c r="J53" t="e">
        <f t="array" aca="1" ref="J53" ca="1">IF(ISBLANK(B53),"",_xll.BDH($B$2&amp;" equity","px last",C53+2,C53+2,"days=a","fill=p","points=1"))</f>
        <v>#NAME?</v>
      </c>
      <c r="K53" s="713" t="str">
        <f t="shared" ca="1" si="1"/>
        <v/>
      </c>
      <c r="L53" s="713" t="str">
        <f t="shared" ca="1" si="2"/>
        <v/>
      </c>
      <c r="M53" s="741" t="str">
        <f t="shared" ca="1" si="3"/>
        <v/>
      </c>
    </row>
    <row r="54" spans="2:45" outlineLevel="1">
      <c r="B54" s="749" t="s">
        <v>1434</v>
      </c>
      <c r="C54" s="1">
        <v>43307</v>
      </c>
      <c r="D54" s="609">
        <v>0.29166666666666669</v>
      </c>
      <c r="E54">
        <v>1.127</v>
      </c>
      <c r="F54">
        <v>1.03</v>
      </c>
      <c r="G54" t="s">
        <v>1120</v>
      </c>
      <c r="H54">
        <f t="shared" ca="1" si="0"/>
        <v>0</v>
      </c>
      <c r="I54" t="e">
        <f t="array" aca="1" ref="I54" ca="1">IF(ISBLANK(B54),"",_xll.BDH($B$2&amp;" equity","px last",C54-2,C54-2,"days=a","fill=p","points=1"))</f>
        <v>#NAME?</v>
      </c>
      <c r="J54" t="e">
        <f t="array" aca="1" ref="J54" ca="1">IF(ISBLANK(B54),"",_xll.BDH($B$2&amp;" equity","px last",C54+2,C54+2,"days=a","fill=p","points=1"))</f>
        <v>#NAME?</v>
      </c>
      <c r="K54" s="713" t="str">
        <f t="shared" ca="1" si="1"/>
        <v/>
      </c>
      <c r="L54" s="713" t="str">
        <f t="shared" ca="1" si="2"/>
        <v/>
      </c>
      <c r="M54" s="741" t="str">
        <f t="shared" ca="1" si="3"/>
        <v/>
      </c>
    </row>
    <row r="55" spans="2:45" outlineLevel="1">
      <c r="B55" s="749" t="s">
        <v>1435</v>
      </c>
      <c r="C55" s="1">
        <v>43216</v>
      </c>
      <c r="D55" s="609">
        <v>0.29166666666666669</v>
      </c>
      <c r="E55">
        <v>0.5</v>
      </c>
      <c r="F55">
        <v>0.45500000000000002</v>
      </c>
      <c r="G55">
        <v>0.52500000000000002</v>
      </c>
      <c r="H55">
        <f t="shared" ca="1" si="0"/>
        <v>0</v>
      </c>
      <c r="I55" t="e">
        <f t="array" aca="1" ref="I55" ca="1">IF(ISBLANK(B55),"",_xll.BDH($B$2&amp;" equity","px last",C55-2,C55-2,"days=a","fill=p","points=1"))</f>
        <v>#NAME?</v>
      </c>
      <c r="J55" t="e">
        <f t="array" aca="1" ref="J55" ca="1">IF(ISBLANK(B55),"",_xll.BDH($B$2&amp;" equity","px last",C55+2,C55+2,"days=a","fill=p","points=1"))</f>
        <v>#NAME?</v>
      </c>
      <c r="K55" s="713" t="str">
        <f t="shared" ca="1" si="1"/>
        <v/>
      </c>
      <c r="L55" s="713" t="str">
        <f t="shared" ca="1" si="2"/>
        <v/>
      </c>
      <c r="M55" s="741" t="str">
        <f t="shared" ca="1" si="3"/>
        <v/>
      </c>
    </row>
    <row r="56" spans="2:45" outlineLevel="1">
      <c r="B56" s="749" t="s">
        <v>1436</v>
      </c>
      <c r="C56" s="1">
        <v>43146</v>
      </c>
      <c r="D56" s="609">
        <v>0.29930555555555555</v>
      </c>
      <c r="E56">
        <v>2.3199999999999998</v>
      </c>
      <c r="F56">
        <v>2.17</v>
      </c>
      <c r="G56">
        <v>2.2280000000000002</v>
      </c>
      <c r="H56">
        <f t="shared" ca="1" si="0"/>
        <v>0</v>
      </c>
      <c r="I56" t="e">
        <f t="array" aca="1" ref="I56" ca="1">IF(ISBLANK(B56),"",_xll.BDH($B$2&amp;" equity","px last",C56-2,C56-2,"days=a","fill=p","points=1"))</f>
        <v>#NAME?</v>
      </c>
      <c r="J56" t="e">
        <f t="array" aca="1" ref="J56" ca="1">IF(ISBLANK(B56),"",_xll.BDH($B$2&amp;" equity","px last",C56+2,C56+2,"days=a","fill=p","points=1"))</f>
        <v>#NAME?</v>
      </c>
      <c r="K56" s="713" t="str">
        <f t="shared" ca="1" si="1"/>
        <v/>
      </c>
      <c r="L56" s="713" t="str">
        <f t="shared" ca="1" si="2"/>
        <v/>
      </c>
      <c r="M56" s="741" t="str">
        <f t="shared" ca="1" si="3"/>
        <v/>
      </c>
    </row>
    <row r="57" spans="2:45" outlineLevel="1">
      <c r="B57" s="749" t="s">
        <v>1437</v>
      </c>
      <c r="C57" s="1">
        <v>43034</v>
      </c>
      <c r="D57" s="609">
        <v>0.29166666666666669</v>
      </c>
      <c r="E57">
        <v>0.70499999999999996</v>
      </c>
      <c r="F57">
        <v>0.65</v>
      </c>
      <c r="G57" t="s">
        <v>1120</v>
      </c>
      <c r="H57">
        <f t="shared" ca="1" si="0"/>
        <v>0</v>
      </c>
      <c r="I57" t="e">
        <f t="array" aca="1" ref="I57" ca="1">IF(ISBLANK(B57),"",_xll.BDH($B$2&amp;" equity","px last",C57-2,C57-2,"days=a","fill=p","points=1"))</f>
        <v>#NAME?</v>
      </c>
      <c r="J57" t="e">
        <f t="array" aca="1" ref="J57" ca="1">IF(ISBLANK(B57),"",_xll.BDH($B$2&amp;" equity","px last",C57+2,C57+2,"days=a","fill=p","points=1"))</f>
        <v>#NAME?</v>
      </c>
      <c r="K57" s="713" t="str">
        <f t="shared" ca="1" si="1"/>
        <v/>
      </c>
      <c r="L57" s="713" t="str">
        <f t="shared" ca="1" si="2"/>
        <v/>
      </c>
      <c r="M57" s="741" t="str">
        <f t="shared" ca="1" si="3"/>
        <v/>
      </c>
    </row>
    <row r="58" spans="2:45" outlineLevel="1">
      <c r="B58" s="749" t="s">
        <v>1438</v>
      </c>
      <c r="C58" s="1">
        <v>42943</v>
      </c>
      <c r="D58" s="609">
        <v>0.29166666666666669</v>
      </c>
      <c r="E58">
        <v>1.0249999999999999</v>
      </c>
      <c r="F58">
        <v>0.94</v>
      </c>
      <c r="G58" t="s">
        <v>1120</v>
      </c>
      <c r="H58">
        <f t="shared" ca="1" si="0"/>
        <v>0</v>
      </c>
      <c r="I58" t="e">
        <f t="array" aca="1" ref="I58" ca="1">IF(ISBLANK(B58),"",_xll.BDH($B$2&amp;" equity","px last",C58-2,C58-2,"days=a","fill=p","points=1"))</f>
        <v>#NAME?</v>
      </c>
      <c r="J58" t="e">
        <f t="array" aca="1" ref="J58" ca="1">IF(ISBLANK(B58),"",_xll.BDH($B$2&amp;" equity","px last",C58+2,C58+2,"days=a","fill=p","points=1"))</f>
        <v>#NAME?</v>
      </c>
      <c r="K58" s="713" t="str">
        <f t="shared" ca="1" si="1"/>
        <v/>
      </c>
      <c r="L58" s="713" t="str">
        <f t="shared" ca="1" si="2"/>
        <v/>
      </c>
      <c r="M58" s="741" t="str">
        <f t="shared" ca="1" si="3"/>
        <v/>
      </c>
    </row>
    <row r="59" spans="2:45" outlineLevel="1">
      <c r="B59" s="749" t="s">
        <v>1439</v>
      </c>
      <c r="C59" s="1">
        <v>42850</v>
      </c>
      <c r="D59" s="609">
        <v>0.29166666666666669</v>
      </c>
      <c r="E59">
        <v>0.32500000000000001</v>
      </c>
      <c r="F59">
        <v>0.3</v>
      </c>
      <c r="G59">
        <v>0.27</v>
      </c>
      <c r="H59">
        <f t="shared" ca="1" si="0"/>
        <v>0</v>
      </c>
      <c r="I59" t="e">
        <f t="array" aca="1" ref="I59" ca="1">IF(ISBLANK(B59),"",_xll.BDH($B$2&amp;" equity","px last",C59-2,C59-2,"days=a","fill=p","points=1"))</f>
        <v>#NAME?</v>
      </c>
      <c r="J59" t="e">
        <f t="array" aca="1" ref="J59" ca="1">IF(ISBLANK(B59),"",_xll.BDH($B$2&amp;" equity","px last",C59+2,C59+2,"days=a","fill=p","points=1"))</f>
        <v>#NAME?</v>
      </c>
      <c r="K59" s="713" t="str">
        <f t="shared" ca="1" si="1"/>
        <v/>
      </c>
      <c r="L59" s="713" t="str">
        <f t="shared" ca="1" si="2"/>
        <v/>
      </c>
      <c r="M59" s="741" t="str">
        <f t="shared" ca="1" si="3"/>
        <v/>
      </c>
    </row>
    <row r="60" spans="2:45" outlineLevel="1">
      <c r="B60" s="749" t="s">
        <v>1440</v>
      </c>
      <c r="C60" s="1">
        <v>42789</v>
      </c>
      <c r="D60" s="609">
        <v>0.29166666666666669</v>
      </c>
      <c r="E60">
        <v>0.879</v>
      </c>
      <c r="F60">
        <v>0.84660000000000002</v>
      </c>
      <c r="G60">
        <v>0.78500000000000003</v>
      </c>
      <c r="H60">
        <f t="shared" ca="1" si="0"/>
        <v>0</v>
      </c>
      <c r="I60" t="e">
        <f t="array" aca="1" ref="I60" ca="1">IF(ISBLANK(B60),"",_xll.BDH($B$2&amp;" equity","px last",C60-2,C60-2,"days=a","fill=p","points=1"))</f>
        <v>#NAME?</v>
      </c>
      <c r="J60" t="e">
        <f t="array" aca="1" ref="J60" ca="1">IF(ISBLANK(B60),"",_xll.BDH($B$2&amp;" equity","px last",C60+2,C60+2,"days=a","fill=p","points=1"))</f>
        <v>#NAME?</v>
      </c>
      <c r="K60" s="713" t="str">
        <f t="shared" ca="1" si="1"/>
        <v/>
      </c>
      <c r="L60" s="713" t="str">
        <f t="shared" ca="1" si="2"/>
        <v/>
      </c>
      <c r="M60" s="741" t="str">
        <f t="shared" ca="1" si="3"/>
        <v/>
      </c>
    </row>
    <row r="61" spans="2:45" outlineLevel="1">
      <c r="B61" s="749" t="s">
        <v>1441</v>
      </c>
      <c r="C61" s="1">
        <v>42670</v>
      </c>
      <c r="D61" s="609">
        <v>0.29166666666666669</v>
      </c>
      <c r="E61">
        <v>0.221</v>
      </c>
      <c r="F61">
        <v>0.216</v>
      </c>
      <c r="G61" t="s">
        <v>1120</v>
      </c>
      <c r="H61">
        <f t="shared" ref="H61:H92" ca="1" si="4">IF(ISBLANK(B61),"",IF(C61&gt;$H$28,1,0))</f>
        <v>0</v>
      </c>
      <c r="I61" t="e">
        <f t="array" aca="1" ref="I61" ca="1">IF(ISBLANK(B61),"",_xll.BDH($B$2&amp;" equity","px last",C61-2,C61-2,"days=a","fill=p","points=1"))</f>
        <v>#NAME?</v>
      </c>
      <c r="J61" t="e">
        <f t="array" aca="1" ref="J61" ca="1">IF(ISBLANK(B61),"",_xll.BDH($B$2&amp;" equity","px last",C61+2,C61+2,"days=a","fill=p","points=1"))</f>
        <v>#NAME?</v>
      </c>
      <c r="K61" s="713" t="str">
        <f t="shared" ref="K61:K92" ca="1" si="5">IF(AND(H61=0,ISNUMBER(I61),ISNUMBER(J61)),J61/I61-1,"")</f>
        <v/>
      </c>
      <c r="L61" s="713" t="str">
        <f t="shared" ref="L61:L92" ca="1" si="6">IF(ISNUMBER(K61),IF(K61&gt;=0,K61,""),"")</f>
        <v/>
      </c>
      <c r="M61" s="741" t="str">
        <f t="shared" ref="M61:M92" ca="1" si="7">IF(ISNUMBER(K61),IF(K61&lt;0,K61,""),"")</f>
        <v/>
      </c>
    </row>
    <row r="62" spans="2:45" outlineLevel="1">
      <c r="B62" s="749" t="s">
        <v>1442</v>
      </c>
      <c r="C62" s="1">
        <v>42579</v>
      </c>
      <c r="D62" s="609">
        <v>0.29166666666666669</v>
      </c>
      <c r="E62">
        <v>0.433</v>
      </c>
      <c r="F62">
        <v>0.42780000000000001</v>
      </c>
      <c r="G62" t="s">
        <v>1120</v>
      </c>
      <c r="H62">
        <f t="shared" ca="1" si="4"/>
        <v>0</v>
      </c>
      <c r="I62" t="e">
        <f t="array" aca="1" ref="I62" ca="1">IF(ISBLANK(B62),"",_xll.BDH($B$2&amp;" equity","px last",C62-2,C62-2,"days=a","fill=p","points=1"))</f>
        <v>#NAME?</v>
      </c>
      <c r="J62" t="e">
        <f t="array" aca="1" ref="J62" ca="1">IF(ISBLANK(B62),"",_xll.BDH($B$2&amp;" equity","px last",C62+2,C62+2,"days=a","fill=p","points=1"))</f>
        <v>#NAME?</v>
      </c>
      <c r="K62" s="713" t="str">
        <f t="shared" ca="1" si="5"/>
        <v/>
      </c>
      <c r="L62" s="713" t="str">
        <f t="shared" ca="1" si="6"/>
        <v/>
      </c>
      <c r="M62" s="741" t="str">
        <f t="shared" ca="1" si="7"/>
        <v/>
      </c>
    </row>
    <row r="63" spans="2:45" outlineLevel="1">
      <c r="B63" s="749" t="s">
        <v>1443</v>
      </c>
      <c r="C63" s="1">
        <v>42489</v>
      </c>
      <c r="D63" s="609">
        <v>0.29166666666666669</v>
      </c>
      <c r="E63">
        <v>0.112</v>
      </c>
      <c r="F63">
        <v>0.1118</v>
      </c>
      <c r="G63">
        <v>0.105</v>
      </c>
      <c r="H63">
        <f t="shared" ca="1" si="4"/>
        <v>0</v>
      </c>
      <c r="I63" t="e">
        <f t="array" aca="1" ref="I63" ca="1">IF(ISBLANK(B63),"",_xll.BDH($B$2&amp;" equity","px last",C63-2,C63-2,"days=a","fill=p","points=1"))</f>
        <v>#NAME?</v>
      </c>
      <c r="J63" t="e">
        <f t="array" aca="1" ref="J63" ca="1">IF(ISBLANK(B63),"",_xll.BDH($B$2&amp;" equity","px last",C63+2,C63+2,"days=a","fill=p","points=1"))</f>
        <v>#NAME?</v>
      </c>
      <c r="K63" s="713" t="str">
        <f t="shared" ca="1" si="5"/>
        <v/>
      </c>
      <c r="L63" s="713" t="str">
        <f t="shared" ca="1" si="6"/>
        <v/>
      </c>
      <c r="M63" s="741" t="str">
        <f t="shared" ca="1" si="7"/>
        <v/>
      </c>
    </row>
    <row r="64" spans="2:45" outlineLevel="1">
      <c r="B64" s="749" t="s">
        <v>1444</v>
      </c>
      <c r="C64" s="1">
        <v>42425</v>
      </c>
      <c r="D64" s="609">
        <v>0.29166666666666669</v>
      </c>
      <c r="E64">
        <v>0.61550000000000005</v>
      </c>
      <c r="F64">
        <v>0.59409999999999996</v>
      </c>
      <c r="G64">
        <v>0.57799999999999996</v>
      </c>
      <c r="H64">
        <f t="shared" ca="1" si="4"/>
        <v>0</v>
      </c>
      <c r="I64" t="e">
        <f t="array" aca="1" ref="I64" ca="1">IF(ISBLANK(B64),"",_xll.BDH($B$2&amp;" equity","px last",C64-2,C64-2,"days=a","fill=p","points=1"))</f>
        <v>#NAME?</v>
      </c>
      <c r="J64" t="e">
        <f t="array" aca="1" ref="J64" ca="1">IF(ISBLANK(B64),"",_xll.BDH($B$2&amp;" equity","px last",C64+2,C64+2,"days=a","fill=p","points=1"))</f>
        <v>#NAME?</v>
      </c>
      <c r="K64" s="713" t="str">
        <f t="shared" ca="1" si="5"/>
        <v/>
      </c>
      <c r="L64" s="713" t="str">
        <f t="shared" ca="1" si="6"/>
        <v/>
      </c>
      <c r="M64" s="741" t="str">
        <f t="shared" ca="1" si="7"/>
        <v/>
      </c>
    </row>
    <row r="65" spans="2:13" outlineLevel="1">
      <c r="B65" s="749" t="s">
        <v>1445</v>
      </c>
      <c r="C65" s="1">
        <v>42299</v>
      </c>
      <c r="D65" s="609">
        <v>0.29166666666666669</v>
      </c>
      <c r="E65">
        <v>8.2000000000000003E-2</v>
      </c>
      <c r="F65">
        <v>0.08</v>
      </c>
      <c r="G65">
        <v>4.4999999999999998E-2</v>
      </c>
      <c r="H65">
        <f t="shared" ca="1" si="4"/>
        <v>0</v>
      </c>
      <c r="I65" t="e">
        <f t="array" aca="1" ref="I65" ca="1">IF(ISBLANK(B65),"",_xll.BDH($B$2&amp;" equity","px last",C65-2,C65-2,"days=a","fill=p","points=1"))</f>
        <v>#NAME?</v>
      </c>
      <c r="J65" t="e">
        <f t="array" aca="1" ref="J65" ca="1">IF(ISBLANK(B65),"",_xll.BDH($B$2&amp;" equity","px last",C65+2,C65+2,"days=a","fill=p","points=1"))</f>
        <v>#NAME?</v>
      </c>
      <c r="K65" s="713" t="str">
        <f t="shared" ca="1" si="5"/>
        <v/>
      </c>
      <c r="L65" s="713" t="str">
        <f t="shared" ca="1" si="6"/>
        <v/>
      </c>
      <c r="M65" s="741" t="str">
        <f t="shared" ca="1" si="7"/>
        <v/>
      </c>
    </row>
    <row r="66" spans="2:13" outlineLevel="1">
      <c r="B66" s="749" t="s">
        <v>1446</v>
      </c>
      <c r="C66" s="1">
        <v>42208</v>
      </c>
      <c r="D66" s="609" t="s">
        <v>1120</v>
      </c>
      <c r="E66">
        <v>0.39829999999999999</v>
      </c>
      <c r="F66">
        <v>0.43</v>
      </c>
      <c r="G66" t="s">
        <v>1120</v>
      </c>
      <c r="H66">
        <f t="shared" ca="1" si="4"/>
        <v>0</v>
      </c>
      <c r="I66" t="e">
        <f t="array" aca="1" ref="I66" ca="1">IF(ISBLANK(B66),"",_xll.BDH($B$2&amp;" equity","px last",C66-2,C66-2,"days=a","fill=p","points=1"))</f>
        <v>#NAME?</v>
      </c>
      <c r="J66" t="e">
        <f t="array" aca="1" ref="J66" ca="1">IF(ISBLANK(B66),"",_xll.BDH($B$2&amp;" equity","px last",C66+2,C66+2,"days=a","fill=p","points=1"))</f>
        <v>#NAME?</v>
      </c>
      <c r="K66" s="713" t="str">
        <f t="shared" ca="1" si="5"/>
        <v/>
      </c>
      <c r="L66" s="713" t="str">
        <f t="shared" ca="1" si="6"/>
        <v/>
      </c>
      <c r="M66" s="741" t="str">
        <f t="shared" ca="1" si="7"/>
        <v/>
      </c>
    </row>
    <row r="67" spans="2:13" outlineLevel="1">
      <c r="B67" s="749" t="s">
        <v>1447</v>
      </c>
      <c r="C67" s="1">
        <v>42124</v>
      </c>
      <c r="D67" s="609">
        <v>0.33333333333333331</v>
      </c>
      <c r="E67">
        <v>0.19320000000000001</v>
      </c>
      <c r="F67">
        <v>0.19550000000000001</v>
      </c>
      <c r="G67">
        <v>0.19</v>
      </c>
      <c r="H67">
        <f t="shared" ca="1" si="4"/>
        <v>0</v>
      </c>
      <c r="I67" t="e">
        <f t="array" aca="1" ref="I67" ca="1">IF(ISBLANK(B67),"",_xll.BDH($B$2&amp;" equity","px last",C67-2,C67-2,"days=a","fill=p","points=1"))</f>
        <v>#NAME?</v>
      </c>
      <c r="J67" t="e">
        <f t="array" aca="1" ref="J67" ca="1">IF(ISBLANK(B67),"",_xll.BDH($B$2&amp;" equity","px last",C67+2,C67+2,"days=a","fill=p","points=1"))</f>
        <v>#NAME?</v>
      </c>
      <c r="K67" s="713" t="str">
        <f t="shared" ca="1" si="5"/>
        <v/>
      </c>
      <c r="L67" s="713" t="str">
        <f t="shared" ca="1" si="6"/>
        <v/>
      </c>
      <c r="M67" s="741" t="str">
        <f t="shared" ca="1" si="7"/>
        <v/>
      </c>
    </row>
    <row r="68" spans="2:13" outlineLevel="1">
      <c r="B68" s="749" t="s">
        <v>1448</v>
      </c>
      <c r="C68" s="1">
        <v>42061</v>
      </c>
      <c r="D68" s="609">
        <v>0.29166666666666669</v>
      </c>
      <c r="E68">
        <v>0.96099999999999997</v>
      </c>
      <c r="F68">
        <v>0.94750000000000001</v>
      </c>
      <c r="G68">
        <v>0.84</v>
      </c>
      <c r="H68">
        <f t="shared" ca="1" si="4"/>
        <v>0</v>
      </c>
      <c r="I68" t="e">
        <f t="array" aca="1" ref="I68" ca="1">IF(ISBLANK(B68),"",_xll.BDH($B$2&amp;" equity","px last",C68-2,C68-2,"days=a","fill=p","points=1"))</f>
        <v>#NAME?</v>
      </c>
      <c r="J68" t="e">
        <f t="array" aca="1" ref="J68" ca="1">IF(ISBLANK(B68),"",_xll.BDH($B$2&amp;" equity","px last",C68+2,C68+2,"days=a","fill=p","points=1"))</f>
        <v>#NAME?</v>
      </c>
      <c r="K68" s="713" t="str">
        <f t="shared" ca="1" si="5"/>
        <v/>
      </c>
      <c r="L68" s="713" t="str">
        <f t="shared" ca="1" si="6"/>
        <v/>
      </c>
      <c r="M68" s="741" t="str">
        <f t="shared" ca="1" si="7"/>
        <v/>
      </c>
    </row>
    <row r="69" spans="2:13" outlineLevel="1">
      <c r="B69" s="749" t="s">
        <v>1449</v>
      </c>
      <c r="C69" s="1">
        <v>41942</v>
      </c>
      <c r="D69" s="609">
        <v>0.29166666666666669</v>
      </c>
      <c r="E69">
        <v>0.28499999999999998</v>
      </c>
      <c r="F69">
        <v>0.28549999999999998</v>
      </c>
      <c r="G69" t="s">
        <v>1120</v>
      </c>
      <c r="H69">
        <f t="shared" ca="1" si="4"/>
        <v>0</v>
      </c>
      <c r="I69" t="e">
        <f t="array" aca="1" ref="I69" ca="1">IF(ISBLANK(B69),"",_xll.BDH($B$2&amp;" equity","px last",C69-2,C69-2,"days=a","fill=p","points=1"))</f>
        <v>#NAME?</v>
      </c>
      <c r="J69" t="e">
        <f t="array" aca="1" ref="J69" ca="1">IF(ISBLANK(B69),"",_xll.BDH($B$2&amp;" equity","px last",C69+2,C69+2,"days=a","fill=p","points=1"))</f>
        <v>#NAME?</v>
      </c>
      <c r="K69" s="713" t="str">
        <f t="shared" ca="1" si="5"/>
        <v/>
      </c>
      <c r="L69" s="713" t="str">
        <f t="shared" ca="1" si="6"/>
        <v/>
      </c>
      <c r="M69" s="741" t="str">
        <f t="shared" ca="1" si="7"/>
        <v/>
      </c>
    </row>
    <row r="70" spans="2:13" outlineLevel="1">
      <c r="B70" s="749" t="s">
        <v>1450</v>
      </c>
      <c r="C70" s="1">
        <v>41851</v>
      </c>
      <c r="D70" s="609">
        <v>0.29166666666666669</v>
      </c>
      <c r="E70">
        <v>0.41599999999999998</v>
      </c>
      <c r="F70">
        <v>0.4</v>
      </c>
      <c r="G70" t="s">
        <v>1120</v>
      </c>
      <c r="H70">
        <f t="shared" ca="1" si="4"/>
        <v>0</v>
      </c>
      <c r="I70" t="e">
        <f t="array" aca="1" ref="I70" ca="1">IF(ISBLANK(B70),"",_xll.BDH($B$2&amp;" equity","px last",C70-2,C70-2,"days=a","fill=p","points=1"))</f>
        <v>#NAME?</v>
      </c>
      <c r="J70" t="e">
        <f t="array" aca="1" ref="J70" ca="1">IF(ISBLANK(B70),"",_xll.BDH($B$2&amp;" equity","px last",C70+2,C70+2,"days=a","fill=p","points=1"))</f>
        <v>#NAME?</v>
      </c>
      <c r="K70" s="713" t="str">
        <f t="shared" ca="1" si="5"/>
        <v/>
      </c>
      <c r="L70" s="713" t="str">
        <f t="shared" ca="1" si="6"/>
        <v/>
      </c>
      <c r="M70" s="741" t="str">
        <f t="shared" ca="1" si="7"/>
        <v/>
      </c>
    </row>
    <row r="71" spans="2:13" outlineLevel="1">
      <c r="B71" s="749" t="s">
        <v>1451</v>
      </c>
      <c r="C71" s="1">
        <v>41759</v>
      </c>
      <c r="D71" s="609">
        <v>0.29166666666666669</v>
      </c>
      <c r="E71">
        <v>9.7199999999999995E-2</v>
      </c>
      <c r="F71">
        <v>9.4E-2</v>
      </c>
      <c r="G71" t="s">
        <v>1120</v>
      </c>
      <c r="H71">
        <f t="shared" ca="1" si="4"/>
        <v>0</v>
      </c>
      <c r="I71" t="e">
        <f t="array" aca="1" ref="I71" ca="1">IF(ISBLANK(B71),"",_xll.BDH($B$2&amp;" equity","px last",C71-2,C71-2,"days=a","fill=p","points=1"))</f>
        <v>#NAME?</v>
      </c>
      <c r="J71" t="e">
        <f t="array" aca="1" ref="J71" ca="1">IF(ISBLANK(B71),"",_xll.BDH($B$2&amp;" equity","px last",C71+2,C71+2,"days=a","fill=p","points=1"))</f>
        <v>#NAME?</v>
      </c>
      <c r="K71" s="713" t="str">
        <f t="shared" ca="1" si="5"/>
        <v/>
      </c>
      <c r="L71" s="713" t="str">
        <f t="shared" ca="1" si="6"/>
        <v/>
      </c>
      <c r="M71" s="741" t="str">
        <f t="shared" ca="1" si="7"/>
        <v/>
      </c>
    </row>
    <row r="72" spans="2:13" outlineLevel="1">
      <c r="B72" s="749" t="s">
        <v>1452</v>
      </c>
      <c r="C72" s="1">
        <v>41697</v>
      </c>
      <c r="D72" s="609">
        <v>0.29166666666666669</v>
      </c>
      <c r="E72">
        <v>0.24429999999999999</v>
      </c>
      <c r="F72">
        <v>0.215</v>
      </c>
      <c r="G72" t="s">
        <v>1120</v>
      </c>
      <c r="H72">
        <f t="shared" ca="1" si="4"/>
        <v>0</v>
      </c>
      <c r="I72" t="e">
        <f t="array" aca="1" ref="I72" ca="1">IF(ISBLANK(B72),"",_xll.BDH($B$2&amp;" equity","px last",C72-2,C72-2,"days=a","fill=p","points=1"))</f>
        <v>#NAME?</v>
      </c>
      <c r="J72" t="e">
        <f t="array" aca="1" ref="J72" ca="1">IF(ISBLANK(B72),"",_xll.BDH($B$2&amp;" equity","px last",C72+2,C72+2,"days=a","fill=p","points=1"))</f>
        <v>#NAME?</v>
      </c>
      <c r="K72" s="713" t="str">
        <f t="shared" ca="1" si="5"/>
        <v/>
      </c>
      <c r="L72" s="713" t="str">
        <f t="shared" ca="1" si="6"/>
        <v/>
      </c>
      <c r="M72" s="741" t="str">
        <f t="shared" ca="1" si="7"/>
        <v/>
      </c>
    </row>
    <row r="73" spans="2:13" outlineLevel="1">
      <c r="B73" s="749" t="s">
        <v>1453</v>
      </c>
      <c r="C73" s="1">
        <v>41578</v>
      </c>
      <c r="D73" s="609">
        <v>0.29166666666666669</v>
      </c>
      <c r="E73">
        <v>0.06</v>
      </c>
      <c r="F73">
        <v>0.06</v>
      </c>
      <c r="G73" t="s">
        <v>1120</v>
      </c>
      <c r="H73">
        <f t="shared" ca="1" si="4"/>
        <v>0</v>
      </c>
      <c r="I73" t="e">
        <f t="array" aca="1" ref="I73" ca="1">IF(ISBLANK(B73),"",_xll.BDH($B$2&amp;" equity","px last",C73-2,C73-2,"days=a","fill=p","points=1"))</f>
        <v>#NAME?</v>
      </c>
      <c r="J73" t="e">
        <f t="array" aca="1" ref="J73" ca="1">IF(ISBLANK(B73),"",_xll.BDH($B$2&amp;" equity","px last",C73+2,C73+2,"days=a","fill=p","points=1"))</f>
        <v>#NAME?</v>
      </c>
      <c r="K73" s="713" t="str">
        <f t="shared" ca="1" si="5"/>
        <v/>
      </c>
      <c r="L73" s="713" t="str">
        <f t="shared" ca="1" si="6"/>
        <v/>
      </c>
      <c r="M73" s="741" t="str">
        <f t="shared" ca="1" si="7"/>
        <v/>
      </c>
    </row>
    <row r="74" spans="2:13" outlineLevel="1">
      <c r="B74" s="749" t="s">
        <v>1454</v>
      </c>
      <c r="C74" s="1">
        <v>41486</v>
      </c>
      <c r="D74" s="609">
        <v>0.29166666666666669</v>
      </c>
      <c r="E74">
        <v>0.14199999999999999</v>
      </c>
      <c r="F74">
        <v>0.13700000000000001</v>
      </c>
      <c r="G74" t="s">
        <v>1120</v>
      </c>
      <c r="H74">
        <f t="shared" ca="1" si="4"/>
        <v>0</v>
      </c>
      <c r="I74" t="e">
        <f t="array" aca="1" ref="I74" ca="1">IF(ISBLANK(B74),"",_xll.BDH($B$2&amp;" equity","px last",C74-2,C74-2,"days=a","fill=p","points=1"))</f>
        <v>#NAME?</v>
      </c>
      <c r="J74" t="e">
        <f t="array" aca="1" ref="J74" ca="1">IF(ISBLANK(B74),"",_xll.BDH($B$2&amp;" equity","px last",C74+2,C74+2,"days=a","fill=p","points=1"))</f>
        <v>#NAME?</v>
      </c>
      <c r="K74" s="713" t="str">
        <f t="shared" ca="1" si="5"/>
        <v/>
      </c>
      <c r="L74" s="713" t="str">
        <f t="shared" ca="1" si="6"/>
        <v/>
      </c>
      <c r="M74" s="741" t="str">
        <f t="shared" ca="1" si="7"/>
        <v/>
      </c>
    </row>
    <row r="75" spans="2:13" outlineLevel="1">
      <c r="B75" s="749" t="s">
        <v>1455</v>
      </c>
      <c r="C75" s="1">
        <v>41388</v>
      </c>
      <c r="D75" s="609">
        <v>0.29166666666666669</v>
      </c>
      <c r="E75">
        <v>5.21E-2</v>
      </c>
      <c r="F75">
        <v>5.1999999999999998E-2</v>
      </c>
      <c r="G75" t="s">
        <v>1120</v>
      </c>
      <c r="H75">
        <f t="shared" ca="1" si="4"/>
        <v>0</v>
      </c>
      <c r="I75" t="e">
        <f t="array" aca="1" ref="I75" ca="1">IF(ISBLANK(B75),"",_xll.BDH($B$2&amp;" equity","px last",C75-2,C75-2,"days=a","fill=p","points=1"))</f>
        <v>#NAME?</v>
      </c>
      <c r="J75" t="e">
        <f t="array" aca="1" ref="J75" ca="1">IF(ISBLANK(B75),"",_xll.BDH($B$2&amp;" equity","px last",C75+2,C75+2,"days=a","fill=p","points=1"))</f>
        <v>#NAME?</v>
      </c>
      <c r="K75" s="713" t="str">
        <f t="shared" ca="1" si="5"/>
        <v/>
      </c>
      <c r="L75" s="713" t="str">
        <f t="shared" ca="1" si="6"/>
        <v/>
      </c>
      <c r="M75" s="741" t="str">
        <f t="shared" ca="1" si="7"/>
        <v/>
      </c>
    </row>
    <row r="76" spans="2:13" outlineLevel="1">
      <c r="B76" s="749" t="s">
        <v>1456</v>
      </c>
      <c r="C76" s="1">
        <v>41338</v>
      </c>
      <c r="D76" s="609">
        <v>0.33333333333333331</v>
      </c>
      <c r="E76">
        <v>0.2351</v>
      </c>
      <c r="F76">
        <v>0.21099999999999999</v>
      </c>
      <c r="G76" t="s">
        <v>1120</v>
      </c>
      <c r="H76">
        <f t="shared" ca="1" si="4"/>
        <v>0</v>
      </c>
      <c r="I76" t="e">
        <f t="array" aca="1" ref="I76" ca="1">IF(ISBLANK(B76),"",_xll.BDH($B$2&amp;" equity","px last",C76-2,C76-2,"days=a","fill=p","points=1"))</f>
        <v>#NAME?</v>
      </c>
      <c r="J76" t="e">
        <f t="array" aca="1" ref="J76" ca="1">IF(ISBLANK(B76),"",_xll.BDH($B$2&amp;" equity","px last",C76+2,C76+2,"days=a","fill=p","points=1"))</f>
        <v>#NAME?</v>
      </c>
      <c r="K76" s="713" t="str">
        <f t="shared" ca="1" si="5"/>
        <v/>
      </c>
      <c r="L76" s="713" t="str">
        <f t="shared" ca="1" si="6"/>
        <v/>
      </c>
      <c r="M76" s="741" t="str">
        <f t="shared" ca="1" si="7"/>
        <v/>
      </c>
    </row>
    <row r="77" spans="2:13" outlineLevel="1">
      <c r="B77" s="749" t="s">
        <v>1457</v>
      </c>
      <c r="C77" s="1">
        <v>41205</v>
      </c>
      <c r="D77" s="609">
        <v>0.33333333333333331</v>
      </c>
      <c r="E77">
        <v>6.0499999999999998E-2</v>
      </c>
      <c r="F77">
        <v>5.7500000000000002E-2</v>
      </c>
      <c r="G77" t="s">
        <v>1120</v>
      </c>
      <c r="H77">
        <f t="shared" ca="1" si="4"/>
        <v>0</v>
      </c>
      <c r="I77" t="e">
        <f t="array" aca="1" ref="I77" ca="1">IF(ISBLANK(B77),"",_xll.BDH($B$2&amp;" equity","px last",C77-2,C77-2,"days=a","fill=p","points=1"))</f>
        <v>#NAME?</v>
      </c>
      <c r="J77" t="e">
        <f t="array" aca="1" ref="J77" ca="1">IF(ISBLANK(B77),"",_xll.BDH($B$2&amp;" equity","px last",C77+2,C77+2,"days=a","fill=p","points=1"))</f>
        <v>#NAME?</v>
      </c>
      <c r="K77" s="713" t="str">
        <f t="shared" ca="1" si="5"/>
        <v/>
      </c>
      <c r="L77" s="713" t="str">
        <f t="shared" ca="1" si="6"/>
        <v/>
      </c>
      <c r="M77" s="741" t="str">
        <f t="shared" ca="1" si="7"/>
        <v/>
      </c>
    </row>
    <row r="78" spans="2:13" outlineLevel="1">
      <c r="B78" s="749" t="s">
        <v>1458</v>
      </c>
      <c r="C78" s="1">
        <v>41116</v>
      </c>
      <c r="D78" s="609">
        <v>0.33333333333333331</v>
      </c>
      <c r="E78">
        <v>0.14000000000000001</v>
      </c>
      <c r="F78">
        <v>0.13800000000000001</v>
      </c>
      <c r="G78" t="s">
        <v>1120</v>
      </c>
      <c r="H78">
        <f t="shared" ca="1" si="4"/>
        <v>0</v>
      </c>
      <c r="I78" t="e">
        <f t="array" aca="1" ref="I78" ca="1">IF(ISBLANK(B78),"",_xll.BDH($B$2&amp;" equity","px last",C78-2,C78-2,"days=a","fill=p","points=1"))</f>
        <v>#NAME?</v>
      </c>
      <c r="J78" t="e">
        <f t="array" aca="1" ref="J78" ca="1">IF(ISBLANK(B78),"",_xll.BDH($B$2&amp;" equity","px last",C78+2,C78+2,"days=a","fill=p","points=1"))</f>
        <v>#NAME?</v>
      </c>
      <c r="K78" s="713" t="str">
        <f t="shared" ca="1" si="5"/>
        <v/>
      </c>
      <c r="L78" s="713" t="str">
        <f t="shared" ca="1" si="6"/>
        <v/>
      </c>
      <c r="M78" s="741" t="str">
        <f t="shared" ca="1" si="7"/>
        <v/>
      </c>
    </row>
    <row r="79" spans="2:13" outlineLevel="1">
      <c r="B79" s="749" t="s">
        <v>1459</v>
      </c>
      <c r="C79" s="1">
        <v>41024</v>
      </c>
      <c r="D79" s="609">
        <v>0.33333333333333331</v>
      </c>
      <c r="E79">
        <v>2.8E-3</v>
      </c>
      <c r="F79">
        <v>3.0000000000000001E-3</v>
      </c>
      <c r="G79" t="s">
        <v>1120</v>
      </c>
      <c r="H79">
        <f t="shared" ca="1" si="4"/>
        <v>0</v>
      </c>
      <c r="I79" t="e">
        <f t="array" aca="1" ref="I79" ca="1">IF(ISBLANK(B79),"",_xll.BDH($B$2&amp;" equity","px last",C79-2,C79-2,"days=a","fill=p","points=1"))</f>
        <v>#NAME?</v>
      </c>
      <c r="J79" t="e">
        <f t="array" aca="1" ref="J79" ca="1">IF(ISBLANK(B79),"",_xll.BDH($B$2&amp;" equity","px last",C79+2,C79+2,"days=a","fill=p","points=1"))</f>
        <v>#NAME?</v>
      </c>
      <c r="K79" s="713" t="str">
        <f t="shared" ca="1" si="5"/>
        <v/>
      </c>
      <c r="L79" s="713" t="str">
        <f t="shared" ca="1" si="6"/>
        <v/>
      </c>
      <c r="M79" s="741" t="str">
        <f t="shared" ca="1" si="7"/>
        <v/>
      </c>
    </row>
    <row r="80" spans="2:13" outlineLevel="1">
      <c r="B80" s="749" t="s">
        <v>1460</v>
      </c>
      <c r="C80" s="1">
        <v>40968</v>
      </c>
      <c r="D80" s="609">
        <v>0.33333333333333331</v>
      </c>
      <c r="E80">
        <v>0.3715</v>
      </c>
      <c r="F80">
        <v>0.372</v>
      </c>
      <c r="G80" t="s">
        <v>1120</v>
      </c>
      <c r="H80">
        <f t="shared" ca="1" si="4"/>
        <v>0</v>
      </c>
      <c r="I80" t="e">
        <f t="array" aca="1" ref="I80" ca="1">IF(ISBLANK(B80),"",_xll.BDH($B$2&amp;" equity","px last",C80-2,C80-2,"days=a","fill=p","points=1"))</f>
        <v>#NAME?</v>
      </c>
      <c r="J80" t="e">
        <f t="array" aca="1" ref="J80" ca="1">IF(ISBLANK(B80),"",_xll.BDH($B$2&amp;" equity","px last",C80+2,C80+2,"days=a","fill=p","points=1"))</f>
        <v>#NAME?</v>
      </c>
      <c r="K80" s="713" t="str">
        <f t="shared" ca="1" si="5"/>
        <v/>
      </c>
      <c r="L80" s="713" t="str">
        <f t="shared" ca="1" si="6"/>
        <v/>
      </c>
      <c r="M80" s="741" t="str">
        <f t="shared" ca="1" si="7"/>
        <v/>
      </c>
    </row>
    <row r="81" spans="2:13" outlineLevel="1">
      <c r="B81" s="749" t="s">
        <v>1461</v>
      </c>
      <c r="C81" s="1">
        <v>40843</v>
      </c>
      <c r="D81" s="609">
        <v>0.33333333333333331</v>
      </c>
      <c r="E81">
        <v>6.3299999999999995E-2</v>
      </c>
      <c r="F81">
        <v>6.5000000000000002E-2</v>
      </c>
      <c r="G81" t="s">
        <v>1120</v>
      </c>
      <c r="H81">
        <f t="shared" ca="1" si="4"/>
        <v>0</v>
      </c>
      <c r="I81" t="e">
        <f t="array" aca="1" ref="I81" ca="1">IF(ISBLANK(B81),"",_xll.BDH($B$2&amp;" equity","px last",C81-2,C81-2,"days=a","fill=p","points=1"))</f>
        <v>#NAME?</v>
      </c>
      <c r="J81" t="e">
        <f t="array" aca="1" ref="J81" ca="1">IF(ISBLANK(B81),"",_xll.BDH($B$2&amp;" equity","px last",C81+2,C81+2,"days=a","fill=p","points=1"))</f>
        <v>#NAME?</v>
      </c>
      <c r="K81" s="713" t="str">
        <f t="shared" ca="1" si="5"/>
        <v/>
      </c>
      <c r="L81" s="713" t="str">
        <f t="shared" ca="1" si="6"/>
        <v/>
      </c>
      <c r="M81" s="741" t="str">
        <f t="shared" ca="1" si="7"/>
        <v/>
      </c>
    </row>
    <row r="82" spans="2:13" outlineLevel="1">
      <c r="B82" s="749" t="s">
        <v>1462</v>
      </c>
      <c r="C82" s="1">
        <v>40752</v>
      </c>
      <c r="D82" s="609">
        <v>0.33333333333333331</v>
      </c>
      <c r="E82">
        <v>0.26500000000000001</v>
      </c>
      <c r="F82">
        <v>0.26550000000000001</v>
      </c>
      <c r="G82" t="s">
        <v>1120</v>
      </c>
      <c r="H82">
        <f t="shared" ca="1" si="4"/>
        <v>0</v>
      </c>
      <c r="I82" t="e">
        <f t="array" aca="1" ref="I82" ca="1">IF(ISBLANK(B82),"",_xll.BDH($B$2&amp;" equity","px last",C82-2,C82-2,"days=a","fill=p","points=1"))</f>
        <v>#NAME?</v>
      </c>
      <c r="J82" t="e">
        <f t="array" aca="1" ref="J82" ca="1">IF(ISBLANK(B82),"",_xll.BDH($B$2&amp;" equity","px last",C82+2,C82+2,"days=a","fill=p","points=1"))</f>
        <v>#NAME?</v>
      </c>
      <c r="K82" s="713" t="str">
        <f t="shared" ca="1" si="5"/>
        <v/>
      </c>
      <c r="L82" s="713" t="str">
        <f t="shared" ca="1" si="6"/>
        <v/>
      </c>
      <c r="M82" s="741" t="str">
        <f t="shared" ca="1" si="7"/>
        <v/>
      </c>
    </row>
    <row r="83" spans="2:13" outlineLevel="1">
      <c r="B83" s="749" t="s">
        <v>1463</v>
      </c>
      <c r="C83" s="1">
        <v>40661</v>
      </c>
      <c r="D83" s="609">
        <v>0.33333333333333331</v>
      </c>
      <c r="E83">
        <v>0.14030000000000001</v>
      </c>
      <c r="F83">
        <v>0.14050000000000001</v>
      </c>
      <c r="G83" t="s">
        <v>1120</v>
      </c>
      <c r="H83">
        <f t="shared" ca="1" si="4"/>
        <v>0</v>
      </c>
      <c r="I83" t="e">
        <f t="array" aca="1" ref="I83" ca="1">IF(ISBLANK(B83),"",_xll.BDH($B$2&amp;" equity","px last",C83-2,C83-2,"days=a","fill=p","points=1"))</f>
        <v>#NAME?</v>
      </c>
      <c r="J83" t="e">
        <f t="array" aca="1" ref="J83" ca="1">IF(ISBLANK(B83),"",_xll.BDH($B$2&amp;" equity","px last",C83+2,C83+2,"days=a","fill=p","points=1"))</f>
        <v>#NAME?</v>
      </c>
      <c r="K83" s="713" t="str">
        <f t="shared" ca="1" si="5"/>
        <v/>
      </c>
      <c r="L83" s="713" t="str">
        <f t="shared" ca="1" si="6"/>
        <v/>
      </c>
      <c r="M83" s="741" t="str">
        <f t="shared" ca="1" si="7"/>
        <v/>
      </c>
    </row>
    <row r="84" spans="2:13" outlineLevel="1">
      <c r="B84" s="749" t="s">
        <v>1464</v>
      </c>
      <c r="C84" s="1">
        <v>40598</v>
      </c>
      <c r="D84" s="609">
        <v>0.33333333333333331</v>
      </c>
      <c r="E84">
        <v>0.74029999999999996</v>
      </c>
      <c r="F84">
        <v>0.75</v>
      </c>
      <c r="G84" t="s">
        <v>1120</v>
      </c>
      <c r="H84">
        <f t="shared" ca="1" si="4"/>
        <v>0</v>
      </c>
      <c r="I84" t="e">
        <f t="array" aca="1" ref="I84" ca="1">IF(ISBLANK(B84),"",_xll.BDH($B$2&amp;" equity","px last",C84-2,C84-2,"days=a","fill=p","points=1"))</f>
        <v>#NAME?</v>
      </c>
      <c r="J84" t="e">
        <f t="array" aca="1" ref="J84" ca="1">IF(ISBLANK(B84),"",_xll.BDH($B$2&amp;" equity","px last",C84+2,C84+2,"days=a","fill=p","points=1"))</f>
        <v>#NAME?</v>
      </c>
      <c r="K84" s="713" t="str">
        <f t="shared" ca="1" si="5"/>
        <v/>
      </c>
      <c r="L84" s="713" t="str">
        <f t="shared" ca="1" si="6"/>
        <v/>
      </c>
      <c r="M84" s="741" t="str">
        <f t="shared" ca="1" si="7"/>
        <v/>
      </c>
    </row>
    <row r="85" spans="2:13" outlineLevel="1">
      <c r="B85" s="749" t="s">
        <v>1465</v>
      </c>
      <c r="C85" s="1">
        <v>40479</v>
      </c>
      <c r="D85" s="609">
        <v>0.3444444444444445</v>
      </c>
      <c r="E85">
        <v>0.22</v>
      </c>
      <c r="F85">
        <v>0.19500000000000001</v>
      </c>
      <c r="G85" t="s">
        <v>1120</v>
      </c>
      <c r="H85">
        <f t="shared" ca="1" si="4"/>
        <v>0</v>
      </c>
      <c r="I85" t="e">
        <f t="array" aca="1" ref="I85" ca="1">IF(ISBLANK(B85),"",_xll.BDH($B$2&amp;" equity","px last",C85-2,C85-2,"days=a","fill=p","points=1"))</f>
        <v>#NAME?</v>
      </c>
      <c r="J85" t="e">
        <f t="array" aca="1" ref="J85" ca="1">IF(ISBLANK(B85),"",_xll.BDH($B$2&amp;" equity","px last",C85+2,C85+2,"days=a","fill=p","points=1"))</f>
        <v>#NAME?</v>
      </c>
      <c r="K85" s="713" t="str">
        <f t="shared" ca="1" si="5"/>
        <v/>
      </c>
      <c r="L85" s="713" t="str">
        <f t="shared" ca="1" si="6"/>
        <v/>
      </c>
      <c r="M85" s="741" t="str">
        <f t="shared" ca="1" si="7"/>
        <v/>
      </c>
    </row>
    <row r="86" spans="2:13" outlineLevel="1">
      <c r="B86" s="749" t="s">
        <v>1466</v>
      </c>
      <c r="C86" s="1">
        <v>40386</v>
      </c>
      <c r="D86" s="609" t="s">
        <v>1120</v>
      </c>
      <c r="E86">
        <v>0.17829999999999999</v>
      </c>
      <c r="F86">
        <v>0.189</v>
      </c>
      <c r="G86" t="s">
        <v>1120</v>
      </c>
      <c r="H86">
        <f t="shared" ca="1" si="4"/>
        <v>0</v>
      </c>
      <c r="I86" t="e">
        <f t="array" aca="1" ref="I86" ca="1">IF(ISBLANK(B86),"",_xll.BDH($B$2&amp;" equity","px last",C86-2,C86-2,"days=a","fill=p","points=1"))</f>
        <v>#NAME?</v>
      </c>
      <c r="J86" t="e">
        <f t="array" aca="1" ref="J86" ca="1">IF(ISBLANK(B86),"",_xll.BDH($B$2&amp;" equity","px last",C86+2,C86+2,"days=a","fill=p","points=1"))</f>
        <v>#NAME?</v>
      </c>
      <c r="K86" s="713" t="str">
        <f t="shared" ca="1" si="5"/>
        <v/>
      </c>
      <c r="L86" s="713" t="str">
        <f t="shared" ca="1" si="6"/>
        <v/>
      </c>
      <c r="M86" s="741" t="str">
        <f t="shared" ca="1" si="7"/>
        <v/>
      </c>
    </row>
    <row r="87" spans="2:13" outlineLevel="1">
      <c r="B87" s="749" t="s">
        <v>1467</v>
      </c>
      <c r="C87" s="1">
        <v>40297</v>
      </c>
      <c r="D87" s="609">
        <v>0.33333333333333331</v>
      </c>
      <c r="E87">
        <v>1.72E-2</v>
      </c>
      <c r="F87">
        <v>1.0999999999999999E-2</v>
      </c>
      <c r="G87" t="s">
        <v>1120</v>
      </c>
      <c r="H87">
        <f t="shared" ca="1" si="4"/>
        <v>0</v>
      </c>
      <c r="I87" t="e">
        <f t="array" aca="1" ref="I87" ca="1">IF(ISBLANK(B87),"",_xll.BDH($B$2&amp;" equity","px last",C87-2,C87-2,"days=a","fill=p","points=1"))</f>
        <v>#NAME?</v>
      </c>
      <c r="J87" t="e">
        <f t="array" aca="1" ref="J87" ca="1">IF(ISBLANK(B87),"",_xll.BDH($B$2&amp;" equity","px last",C87+2,C87+2,"days=a","fill=p","points=1"))</f>
        <v>#NAME?</v>
      </c>
      <c r="K87" s="713" t="str">
        <f t="shared" ca="1" si="5"/>
        <v/>
      </c>
      <c r="L87" s="713" t="str">
        <f t="shared" ca="1" si="6"/>
        <v/>
      </c>
      <c r="M87" s="741" t="str">
        <f t="shared" ca="1" si="7"/>
        <v/>
      </c>
    </row>
    <row r="88" spans="2:13" outlineLevel="1">
      <c r="B88" s="749" t="s">
        <v>1468</v>
      </c>
      <c r="C88" s="1">
        <v>40234</v>
      </c>
      <c r="D88" s="609">
        <v>0.83333333333333337</v>
      </c>
      <c r="E88">
        <v>-0.34539999999999998</v>
      </c>
      <c r="F88">
        <v>-0.42499999999999999</v>
      </c>
      <c r="G88" t="s">
        <v>1120</v>
      </c>
      <c r="H88">
        <f t="shared" ca="1" si="4"/>
        <v>0</v>
      </c>
      <c r="I88" t="e">
        <f t="array" aca="1" ref="I88" ca="1">IF(ISBLANK(B88),"",_xll.BDH($B$2&amp;" equity","px last",C88-2,C88-2,"days=a","fill=p","points=1"))</f>
        <v>#NAME?</v>
      </c>
      <c r="J88" t="e">
        <f t="array" aca="1" ref="J88" ca="1">IF(ISBLANK(B88),"",_xll.BDH($B$2&amp;" equity","px last",C88+2,C88+2,"days=a","fill=p","points=1"))</f>
        <v>#NAME?</v>
      </c>
      <c r="K88" s="713" t="str">
        <f t="shared" ca="1" si="5"/>
        <v/>
      </c>
      <c r="L88" s="713" t="str">
        <f t="shared" ca="1" si="6"/>
        <v/>
      </c>
      <c r="M88" s="741" t="str">
        <f t="shared" ca="1" si="7"/>
        <v/>
      </c>
    </row>
    <row r="89" spans="2:13" outlineLevel="1">
      <c r="B89" s="749" t="s">
        <v>1469</v>
      </c>
      <c r="C89" s="1">
        <v>40115</v>
      </c>
      <c r="D89" s="609">
        <v>0.29166666666666669</v>
      </c>
      <c r="E89">
        <v>-9.69E-2</v>
      </c>
      <c r="F89">
        <v>-5.2499999999999998E-2</v>
      </c>
      <c r="G89" t="s">
        <v>1120</v>
      </c>
      <c r="H89">
        <f t="shared" ca="1" si="4"/>
        <v>0</v>
      </c>
      <c r="I89" t="e">
        <f t="array" aca="1" ref="I89" ca="1">IF(ISBLANK(B89),"",_xll.BDH($B$2&amp;" equity","px last",C89-2,C89-2,"days=a","fill=p","points=1"))</f>
        <v>#NAME?</v>
      </c>
      <c r="J89" t="e">
        <f t="array" aca="1" ref="J89" ca="1">IF(ISBLANK(B89),"",_xll.BDH($B$2&amp;" equity","px last",C89+2,C89+2,"days=a","fill=p","points=1"))</f>
        <v>#NAME?</v>
      </c>
      <c r="K89" s="713" t="str">
        <f t="shared" ca="1" si="5"/>
        <v/>
      </c>
      <c r="L89" s="713" t="str">
        <f t="shared" ca="1" si="6"/>
        <v/>
      </c>
      <c r="M89" s="741" t="str">
        <f t="shared" ca="1" si="7"/>
        <v/>
      </c>
    </row>
    <row r="90" spans="2:13" outlineLevel="1">
      <c r="B90" s="749" t="s">
        <v>1470</v>
      </c>
      <c r="C90" s="1">
        <v>40024</v>
      </c>
      <c r="D90" s="609">
        <v>0.33333333333333331</v>
      </c>
      <c r="E90">
        <v>-0.28299999999999997</v>
      </c>
      <c r="F90">
        <v>0.34350000000000003</v>
      </c>
      <c r="G90" t="s">
        <v>1120</v>
      </c>
      <c r="H90">
        <f t="shared" ca="1" si="4"/>
        <v>0</v>
      </c>
      <c r="I90" t="e">
        <f t="array" aca="1" ref="I90" ca="1">IF(ISBLANK(B90),"",_xll.BDH($B$2&amp;" equity","px last",C90-2,C90-2,"days=a","fill=p","points=1"))</f>
        <v>#NAME?</v>
      </c>
      <c r="J90" t="e">
        <f t="array" aca="1" ref="J90" ca="1">IF(ISBLANK(B90),"",_xll.BDH($B$2&amp;" equity","px last",C90+2,C90+2,"days=a","fill=p","points=1"))</f>
        <v>#NAME?</v>
      </c>
      <c r="K90" s="713" t="str">
        <f t="shared" ca="1" si="5"/>
        <v/>
      </c>
      <c r="L90" s="713" t="str">
        <f t="shared" ca="1" si="6"/>
        <v/>
      </c>
      <c r="M90" s="741" t="str">
        <f t="shared" ca="1" si="7"/>
        <v/>
      </c>
    </row>
    <row r="91" spans="2:13" outlineLevel="1">
      <c r="B91" s="749" t="s">
        <v>1471</v>
      </c>
      <c r="C91" s="1">
        <v>39931</v>
      </c>
      <c r="D91" s="609">
        <v>0.33333333333333331</v>
      </c>
      <c r="E91">
        <v>-0.1188</v>
      </c>
      <c r="F91">
        <v>-0.152</v>
      </c>
      <c r="G91" t="s">
        <v>1120</v>
      </c>
      <c r="H91">
        <f t="shared" ca="1" si="4"/>
        <v>0</v>
      </c>
      <c r="I91" t="e">
        <f t="array" aca="1" ref="I91" ca="1">IF(ISBLANK(B91),"",_xll.BDH($B$2&amp;" equity","px last",C91-2,C91-2,"days=a","fill=p","points=1"))</f>
        <v>#NAME?</v>
      </c>
      <c r="J91" t="e">
        <f t="array" aca="1" ref="J91" ca="1">IF(ISBLANK(B91),"",_xll.BDH($B$2&amp;" equity","px last",C91+2,C91+2,"days=a","fill=p","points=1"))</f>
        <v>#NAME?</v>
      </c>
      <c r="K91" s="713" t="str">
        <f t="shared" ca="1" si="5"/>
        <v/>
      </c>
      <c r="L91" s="713" t="str">
        <f t="shared" ca="1" si="6"/>
        <v/>
      </c>
      <c r="M91" s="741" t="str">
        <f t="shared" ca="1" si="7"/>
        <v/>
      </c>
    </row>
    <row r="92" spans="2:13" outlineLevel="1">
      <c r="B92" s="749" t="s">
        <v>1472</v>
      </c>
      <c r="C92" s="1">
        <v>39864</v>
      </c>
      <c r="D92" s="609">
        <v>0.33333333333333331</v>
      </c>
      <c r="E92">
        <v>-0.26169999999999999</v>
      </c>
      <c r="F92">
        <v>-6.9000000000000006E-2</v>
      </c>
      <c r="G92" t="s">
        <v>1120</v>
      </c>
      <c r="H92">
        <f t="shared" ca="1" si="4"/>
        <v>0</v>
      </c>
      <c r="I92" t="e">
        <f t="array" aca="1" ref="I92" ca="1">IF(ISBLANK(B92),"",_xll.BDH($B$2&amp;" equity","px last",C92-2,C92-2,"days=a","fill=p","points=1"))</f>
        <v>#NAME?</v>
      </c>
      <c r="J92" t="e">
        <f t="array" aca="1" ref="J92" ca="1">IF(ISBLANK(B92),"",_xll.BDH($B$2&amp;" equity","px last",C92+2,C92+2,"days=a","fill=p","points=1"))</f>
        <v>#NAME?</v>
      </c>
      <c r="K92" s="713" t="str">
        <f t="shared" ca="1" si="5"/>
        <v/>
      </c>
      <c r="L92" s="713" t="str">
        <f t="shared" ca="1" si="6"/>
        <v/>
      </c>
      <c r="M92" s="741" t="str">
        <f t="shared" ca="1" si="7"/>
        <v/>
      </c>
    </row>
    <row r="93" spans="2:13" outlineLevel="1">
      <c r="B93" s="749" t="s">
        <v>1473</v>
      </c>
      <c r="C93" s="1">
        <v>39864</v>
      </c>
      <c r="D93" s="609" t="s">
        <v>1120</v>
      </c>
      <c r="E93">
        <v>-0.26300000000000001</v>
      </c>
      <c r="F93">
        <v>-0.5585</v>
      </c>
      <c r="G93" t="s">
        <v>1120</v>
      </c>
      <c r="H93">
        <f t="shared" ref="H93:H108" ca="1" si="8">IF(ISBLANK(B93),"",IF(C93&gt;$H$28,1,0))</f>
        <v>0</v>
      </c>
      <c r="I93" t="e">
        <f t="array" aca="1" ref="I93" ca="1">IF(ISBLANK(B93),"",_xll.BDH($B$2&amp;" equity","px last",C93-2,C93-2,"days=a","fill=p","points=1"))</f>
        <v>#NAME?</v>
      </c>
      <c r="J93" t="e">
        <f t="array" aca="1" ref="J93" ca="1">IF(ISBLANK(B93),"",_xll.BDH($B$2&amp;" equity","px last",C93+2,C93+2,"days=a","fill=p","points=1"))</f>
        <v>#NAME?</v>
      </c>
      <c r="K93" s="713" t="str">
        <f t="shared" ref="K93:K108" ca="1" si="9">IF(AND(H93=0,ISNUMBER(I93),ISNUMBER(J93)),J93/I93-1,"")</f>
        <v/>
      </c>
      <c r="L93" s="713" t="str">
        <f t="shared" ref="L93:L108" ca="1" si="10">IF(ISNUMBER(K93),IF(K93&gt;=0,K93,""),"")</f>
        <v/>
      </c>
      <c r="M93" s="741" t="str">
        <f t="shared" ref="M93:M108" ca="1" si="11">IF(ISNUMBER(K93),IF(K93&lt;0,K93,""),"")</f>
        <v/>
      </c>
    </row>
    <row r="94" spans="2:13" outlineLevel="1">
      <c r="B94" s="749" t="s">
        <v>1474</v>
      </c>
      <c r="C94" s="1">
        <v>39757</v>
      </c>
      <c r="D94" s="609">
        <v>0.3125</v>
      </c>
      <c r="E94">
        <v>5.0000000000000001E-3</v>
      </c>
      <c r="F94">
        <v>6.4999999999999997E-3</v>
      </c>
      <c r="G94" t="s">
        <v>1120</v>
      </c>
      <c r="H94">
        <f t="shared" ca="1" si="8"/>
        <v>0</v>
      </c>
      <c r="I94" t="e">
        <f t="array" aca="1" ref="I94" ca="1">IF(ISBLANK(B94),"",_xll.BDH($B$2&amp;" equity","px last",C94-2,C94-2,"days=a","fill=p","points=1"))</f>
        <v>#NAME?</v>
      </c>
      <c r="J94" t="e">
        <f t="array" aca="1" ref="J94" ca="1">IF(ISBLANK(B94),"",_xll.BDH($B$2&amp;" equity","px last",C94+2,C94+2,"days=a","fill=p","points=1"))</f>
        <v>#NAME?</v>
      </c>
      <c r="K94" s="713" t="str">
        <f t="shared" ca="1" si="9"/>
        <v/>
      </c>
      <c r="L94" s="713" t="str">
        <f t="shared" ca="1" si="10"/>
        <v/>
      </c>
      <c r="M94" s="741" t="str">
        <f t="shared" ca="1" si="11"/>
        <v/>
      </c>
    </row>
    <row r="95" spans="2:13" outlineLevel="1">
      <c r="B95" s="749" t="s">
        <v>1475</v>
      </c>
      <c r="C95" s="1">
        <v>39660</v>
      </c>
      <c r="D95" s="609" t="s">
        <v>1120</v>
      </c>
      <c r="E95">
        <v>1.5E-3</v>
      </c>
      <c r="F95">
        <v>1.5E-3</v>
      </c>
      <c r="G95" t="s">
        <v>1120</v>
      </c>
      <c r="H95">
        <f t="shared" ca="1" si="8"/>
        <v>0</v>
      </c>
      <c r="I95" t="e">
        <f t="array" aca="1" ref="I95" ca="1">IF(ISBLANK(B95),"",_xll.BDH($B$2&amp;" equity","px last",C95-2,C95-2,"days=a","fill=p","points=1"))</f>
        <v>#NAME?</v>
      </c>
      <c r="J95" t="e">
        <f t="array" aca="1" ref="J95" ca="1">IF(ISBLANK(B95),"",_xll.BDH($B$2&amp;" equity","px last",C95+2,C95+2,"days=a","fill=p","points=1"))</f>
        <v>#NAME?</v>
      </c>
      <c r="K95" s="713" t="str">
        <f t="shared" ca="1" si="9"/>
        <v/>
      </c>
      <c r="L95" s="713" t="str">
        <f t="shared" ca="1" si="10"/>
        <v/>
      </c>
      <c r="M95" s="741" t="str">
        <f t="shared" ca="1" si="11"/>
        <v/>
      </c>
    </row>
    <row r="96" spans="2:13" outlineLevel="1">
      <c r="B96" s="749" t="s">
        <v>1476</v>
      </c>
      <c r="C96" s="1">
        <v>39562</v>
      </c>
      <c r="D96" s="609">
        <v>0.35416666666666669</v>
      </c>
      <c r="E96">
        <v>-3.5000000000000003E-2</v>
      </c>
      <c r="F96">
        <v>-3.4500000000000003E-2</v>
      </c>
      <c r="G96" t="s">
        <v>1120</v>
      </c>
      <c r="H96">
        <f t="shared" ca="1" si="8"/>
        <v>0</v>
      </c>
      <c r="I96" t="e">
        <f t="array" aca="1" ref="I96" ca="1">IF(ISBLANK(B96),"",_xll.BDH($B$2&amp;" equity","px last",C96-2,C96-2,"days=a","fill=p","points=1"))</f>
        <v>#NAME?</v>
      </c>
      <c r="J96" t="e">
        <f t="array" aca="1" ref="J96" ca="1">IF(ISBLANK(B96),"",_xll.BDH($B$2&amp;" equity","px last",C96+2,C96+2,"days=a","fill=p","points=1"))</f>
        <v>#NAME?</v>
      </c>
      <c r="K96" s="713" t="str">
        <f t="shared" ca="1" si="9"/>
        <v/>
      </c>
      <c r="L96" s="713" t="str">
        <f t="shared" ca="1" si="10"/>
        <v/>
      </c>
      <c r="M96" s="741" t="str">
        <f t="shared" ca="1" si="11"/>
        <v/>
      </c>
    </row>
    <row r="97" spans="2:13" outlineLevel="1">
      <c r="B97" s="749" t="s">
        <v>1477</v>
      </c>
      <c r="C97" s="1">
        <v>39498</v>
      </c>
      <c r="D97" s="609">
        <v>0.36041666666666666</v>
      </c>
      <c r="E97">
        <v>-8.5000000000000006E-2</v>
      </c>
      <c r="F97">
        <v>-3.2399999999999998E-2</v>
      </c>
      <c r="G97" t="s">
        <v>1120</v>
      </c>
      <c r="H97">
        <f t="shared" ca="1" si="8"/>
        <v>0</v>
      </c>
      <c r="I97" t="e">
        <f t="array" aca="1" ref="I97" ca="1">IF(ISBLANK(B97),"",_xll.BDH($B$2&amp;" equity","px last",C97-2,C97-2,"days=a","fill=p","points=1"))</f>
        <v>#NAME?</v>
      </c>
      <c r="J97" t="e">
        <f t="array" aca="1" ref="J97" ca="1">IF(ISBLANK(B97),"",_xll.BDH($B$2&amp;" equity","px last",C97+2,C97+2,"days=a","fill=p","points=1"))</f>
        <v>#NAME?</v>
      </c>
      <c r="K97" s="713" t="str">
        <f t="shared" ca="1" si="9"/>
        <v/>
      </c>
      <c r="L97" s="713" t="str">
        <f t="shared" ca="1" si="10"/>
        <v/>
      </c>
      <c r="M97" s="741" t="str">
        <f t="shared" ca="1" si="11"/>
        <v/>
      </c>
    </row>
    <row r="98" spans="2:13" outlineLevel="1">
      <c r="B98" s="749" t="s">
        <v>1478</v>
      </c>
      <c r="C98" s="1">
        <v>39498</v>
      </c>
      <c r="D98" s="609">
        <v>0.36041666666666666</v>
      </c>
      <c r="E98">
        <v>-3.8800000000000001E-2</v>
      </c>
      <c r="F98">
        <v>-1.4999999999999999E-2</v>
      </c>
      <c r="G98" t="s">
        <v>1120</v>
      </c>
      <c r="H98">
        <f t="shared" ca="1" si="8"/>
        <v>0</v>
      </c>
      <c r="I98" t="e">
        <f t="array" aca="1" ref="I98" ca="1">IF(ISBLANK(B98),"",_xll.BDH($B$2&amp;" equity","px last",C98-2,C98-2,"days=a","fill=p","points=1"))</f>
        <v>#NAME?</v>
      </c>
      <c r="J98" t="e">
        <f t="array" aca="1" ref="J98" ca="1">IF(ISBLANK(B98),"",_xll.BDH($B$2&amp;" equity","px last",C98+2,C98+2,"days=a","fill=p","points=1"))</f>
        <v>#NAME?</v>
      </c>
      <c r="K98" s="713" t="str">
        <f t="shared" ca="1" si="9"/>
        <v/>
      </c>
      <c r="L98" s="713" t="str">
        <f t="shared" ca="1" si="10"/>
        <v/>
      </c>
      <c r="M98" s="741" t="str">
        <f t="shared" ca="1" si="11"/>
        <v/>
      </c>
    </row>
    <row r="99" spans="2:13" outlineLevel="1">
      <c r="B99" s="749" t="s">
        <v>1479</v>
      </c>
      <c r="C99" s="1">
        <v>39498</v>
      </c>
      <c r="D99" s="609">
        <v>0.36041666666666666</v>
      </c>
      <c r="E99">
        <v>4.1999999999999997E-3</v>
      </c>
      <c r="F99">
        <v>5.0000000000000001E-4</v>
      </c>
      <c r="G99" t="s">
        <v>1120</v>
      </c>
      <c r="H99">
        <f t="shared" ca="1" si="8"/>
        <v>0</v>
      </c>
      <c r="I99" t="e">
        <f t="array" aca="1" ref="I99" ca="1">IF(ISBLANK(B99),"",_xll.BDH($B$2&amp;" equity","px last",C99-2,C99-2,"days=a","fill=p","points=1"))</f>
        <v>#NAME?</v>
      </c>
      <c r="J99" t="e">
        <f t="array" aca="1" ref="J99" ca="1">IF(ISBLANK(B99),"",_xll.BDH($B$2&amp;" equity","px last",C99+2,C99+2,"days=a","fill=p","points=1"))</f>
        <v>#NAME?</v>
      </c>
      <c r="K99" s="713" t="str">
        <f t="shared" ca="1" si="9"/>
        <v/>
      </c>
      <c r="L99" s="713" t="str">
        <f t="shared" ca="1" si="10"/>
        <v/>
      </c>
      <c r="M99" s="741" t="str">
        <f t="shared" ca="1" si="11"/>
        <v/>
      </c>
    </row>
    <row r="100" spans="2:13" outlineLevel="1">
      <c r="B100" s="749" t="s">
        <v>1480</v>
      </c>
      <c r="C100" s="1">
        <v>39379</v>
      </c>
      <c r="D100" s="609" t="s">
        <v>1481</v>
      </c>
      <c r="E100">
        <v>-0.04</v>
      </c>
      <c r="F100">
        <v>-4.2500000000000003E-2</v>
      </c>
      <c r="G100" t="s">
        <v>1120</v>
      </c>
      <c r="H100">
        <f t="shared" ca="1" si="8"/>
        <v>0</v>
      </c>
      <c r="I100" t="e">
        <f t="array" aca="1" ref="I100" ca="1">IF(ISBLANK(B100),"",_xll.BDH($B$2&amp;" equity","px last",C100-2,C100-2,"days=a","fill=p","points=1"))</f>
        <v>#NAME?</v>
      </c>
      <c r="J100" t="e">
        <f t="array" aca="1" ref="J100" ca="1">IF(ISBLANK(B100),"",_xll.BDH($B$2&amp;" equity","px last",C100+2,C100+2,"days=a","fill=p","points=1"))</f>
        <v>#NAME?</v>
      </c>
      <c r="K100" s="713" t="str">
        <f t="shared" ca="1" si="9"/>
        <v/>
      </c>
      <c r="L100" s="713" t="str">
        <f t="shared" ca="1" si="10"/>
        <v/>
      </c>
      <c r="M100" s="741" t="str">
        <f t="shared" ca="1" si="11"/>
        <v/>
      </c>
    </row>
    <row r="101" spans="2:13" outlineLevel="1">
      <c r="B101" s="749" t="s">
        <v>1482</v>
      </c>
      <c r="C101" s="1">
        <v>39270</v>
      </c>
      <c r="D101" s="609" t="s">
        <v>1120</v>
      </c>
      <c r="E101">
        <v>-0.05</v>
      </c>
      <c r="F101">
        <v>-0.05</v>
      </c>
      <c r="G101" t="s">
        <v>1120</v>
      </c>
      <c r="H101">
        <f t="shared" ca="1" si="8"/>
        <v>0</v>
      </c>
      <c r="I101" t="e">
        <f t="array" aca="1" ref="I101" ca="1">IF(ISBLANK(B101),"",_xll.BDH($B$2&amp;" equity","px last",C101-2,C101-2,"days=a","fill=p","points=1"))</f>
        <v>#NAME?</v>
      </c>
      <c r="J101" t="e">
        <f t="array" aca="1" ref="J101" ca="1">IF(ISBLANK(B101),"",_xll.BDH($B$2&amp;" equity","px last",C101+2,C101+2,"days=a","fill=p","points=1"))</f>
        <v>#NAME?</v>
      </c>
      <c r="K101" s="713" t="str">
        <f t="shared" ca="1" si="9"/>
        <v/>
      </c>
      <c r="L101" s="713" t="str">
        <f t="shared" ca="1" si="10"/>
        <v/>
      </c>
      <c r="M101" s="741" t="str">
        <f t="shared" ca="1" si="11"/>
        <v/>
      </c>
    </row>
    <row r="102" spans="2:13" outlineLevel="1">
      <c r="B102" s="749" t="s">
        <v>1483</v>
      </c>
      <c r="C102" s="1">
        <v>39192</v>
      </c>
      <c r="D102" s="609" t="s">
        <v>1120</v>
      </c>
      <c r="E102">
        <v>2.5000000000000001E-2</v>
      </c>
      <c r="F102">
        <v>2.5000000000000001E-2</v>
      </c>
      <c r="G102">
        <v>2.5000000000000001E-2</v>
      </c>
      <c r="H102">
        <f t="shared" ca="1" si="8"/>
        <v>0</v>
      </c>
      <c r="I102" t="e">
        <f t="array" aca="1" ref="I102" ca="1">IF(ISBLANK(B102),"",_xll.BDH($B$2&amp;" equity","px last",C102-2,C102-2,"days=a","fill=p","points=1"))</f>
        <v>#NAME?</v>
      </c>
      <c r="J102" t="e">
        <f t="array" aca="1" ref="J102" ca="1">IF(ISBLANK(B102),"",_xll.BDH($B$2&amp;" equity","px last",C102+2,C102+2,"days=a","fill=p","points=1"))</f>
        <v>#NAME?</v>
      </c>
      <c r="K102" s="713" t="str">
        <f t="shared" ca="1" si="9"/>
        <v/>
      </c>
      <c r="L102" s="713" t="str">
        <f t="shared" ca="1" si="10"/>
        <v/>
      </c>
      <c r="M102" s="741" t="str">
        <f t="shared" ca="1" si="11"/>
        <v/>
      </c>
    </row>
    <row r="103" spans="2:13" outlineLevel="1">
      <c r="B103" s="749" t="s">
        <v>1484</v>
      </c>
      <c r="C103" s="1">
        <v>39119</v>
      </c>
      <c r="D103" s="609" t="s">
        <v>1120</v>
      </c>
      <c r="E103">
        <v>0.16500000000000001</v>
      </c>
      <c r="F103">
        <v>0.1489</v>
      </c>
      <c r="G103">
        <v>0.153</v>
      </c>
      <c r="H103">
        <f t="shared" ca="1" si="8"/>
        <v>0</v>
      </c>
      <c r="I103" t="e">
        <f t="array" aca="1" ref="I103" ca="1">IF(ISBLANK(B103),"",_xll.BDH($B$2&amp;" equity","px last",C103-2,C103-2,"days=a","fill=p","points=1"))</f>
        <v>#NAME?</v>
      </c>
      <c r="J103" t="e">
        <f t="array" aca="1" ref="J103" ca="1">IF(ISBLANK(B103),"",_xll.BDH($B$2&amp;" equity","px last",C103+2,C103+2,"days=a","fill=p","points=1"))</f>
        <v>#NAME?</v>
      </c>
      <c r="K103" s="713" t="str">
        <f t="shared" ca="1" si="9"/>
        <v/>
      </c>
      <c r="L103" s="713" t="str">
        <f t="shared" ca="1" si="10"/>
        <v/>
      </c>
      <c r="M103" s="741" t="str">
        <f t="shared" ca="1" si="11"/>
        <v/>
      </c>
    </row>
    <row r="104" spans="2:13" outlineLevel="1">
      <c r="B104" s="749" t="s">
        <v>1485</v>
      </c>
      <c r="C104" s="1">
        <v>39119</v>
      </c>
      <c r="D104" s="609">
        <v>0.35416666666666669</v>
      </c>
      <c r="E104" t="s">
        <v>1120</v>
      </c>
      <c r="F104">
        <v>2.5000000000000001E-2</v>
      </c>
      <c r="G104">
        <v>3.6999999999999998E-2</v>
      </c>
      <c r="H104">
        <f t="shared" ca="1" si="8"/>
        <v>0</v>
      </c>
      <c r="I104" t="e">
        <f t="array" aca="1" ref="I104" ca="1">IF(ISBLANK(B104),"",_xll.BDH($B$2&amp;" equity","px last",C104-2,C104-2,"days=a","fill=p","points=1"))</f>
        <v>#NAME?</v>
      </c>
      <c r="J104" t="e">
        <f t="array" aca="1" ref="J104" ca="1">IF(ISBLANK(B104),"",_xll.BDH($B$2&amp;" equity","px last",C104+2,C104+2,"days=a","fill=p","points=1"))</f>
        <v>#NAME?</v>
      </c>
      <c r="K104" s="713" t="str">
        <f t="shared" ca="1" si="9"/>
        <v/>
      </c>
      <c r="L104" s="713" t="str">
        <f t="shared" ca="1" si="10"/>
        <v/>
      </c>
      <c r="M104" s="741" t="str">
        <f t="shared" ca="1" si="11"/>
        <v/>
      </c>
    </row>
    <row r="105" spans="2:13" outlineLevel="1">
      <c r="B105" s="749" t="s">
        <v>1486</v>
      </c>
      <c r="C105" s="1">
        <v>39021</v>
      </c>
      <c r="D105" s="609">
        <v>0.35416666666666669</v>
      </c>
      <c r="E105">
        <v>3.5000000000000003E-2</v>
      </c>
      <c r="F105">
        <v>3.5000000000000003E-2</v>
      </c>
      <c r="G105" t="s">
        <v>1120</v>
      </c>
      <c r="H105">
        <f t="shared" ca="1" si="8"/>
        <v>0</v>
      </c>
      <c r="I105" t="e">
        <f t="array" aca="1" ref="I105" ca="1">IF(ISBLANK(B105),"",_xll.BDH($B$2&amp;" equity","px last",C105-2,C105-2,"days=a","fill=p","points=1"))</f>
        <v>#NAME?</v>
      </c>
      <c r="J105" t="e">
        <f t="array" aca="1" ref="J105" ca="1">IF(ISBLANK(B105),"",_xll.BDH($B$2&amp;" equity","px last",C105+2,C105+2,"days=a","fill=p","points=1"))</f>
        <v>#NAME?</v>
      </c>
      <c r="K105" s="713" t="str">
        <f t="shared" ca="1" si="9"/>
        <v/>
      </c>
      <c r="L105" s="713" t="str">
        <f t="shared" ca="1" si="10"/>
        <v/>
      </c>
      <c r="M105" s="741" t="str">
        <f t="shared" ca="1" si="11"/>
        <v/>
      </c>
    </row>
    <row r="106" spans="2:13" outlineLevel="1">
      <c r="B106" s="749" t="s">
        <v>1487</v>
      </c>
      <c r="C106" s="1">
        <v>38918</v>
      </c>
      <c r="D106" s="609">
        <v>0.35416666666666669</v>
      </c>
      <c r="E106">
        <v>8.6099999999999996E-2</v>
      </c>
      <c r="F106">
        <v>0.09</v>
      </c>
      <c r="G106" t="s">
        <v>1120</v>
      </c>
      <c r="H106">
        <f t="shared" ca="1" si="8"/>
        <v>0</v>
      </c>
      <c r="I106" t="e">
        <f t="array" aca="1" ref="I106" ca="1">IF(ISBLANK(B106),"",_xll.BDH($B$2&amp;" equity","px last",C106-2,C106-2,"days=a","fill=p","points=1"))</f>
        <v>#NAME?</v>
      </c>
      <c r="J106" t="e">
        <f t="array" aca="1" ref="J106" ca="1">IF(ISBLANK(B106),"",_xll.BDH($B$2&amp;" equity","px last",C106+2,C106+2,"days=a","fill=p","points=1"))</f>
        <v>#NAME?</v>
      </c>
      <c r="K106" s="713" t="str">
        <f t="shared" ca="1" si="9"/>
        <v/>
      </c>
      <c r="L106" s="713" t="str">
        <f t="shared" ca="1" si="10"/>
        <v/>
      </c>
      <c r="M106" s="741" t="str">
        <f t="shared" ca="1" si="11"/>
        <v/>
      </c>
    </row>
    <row r="107" spans="2:13" outlineLevel="1">
      <c r="B107" s="749" t="s">
        <v>1488</v>
      </c>
      <c r="C107" s="1">
        <v>38826</v>
      </c>
      <c r="D107" s="609">
        <v>0.35416666666666669</v>
      </c>
      <c r="E107">
        <v>1.4999999999999999E-2</v>
      </c>
      <c r="F107">
        <v>1.4999999999999999E-2</v>
      </c>
      <c r="G107" t="s">
        <v>1120</v>
      </c>
      <c r="H107">
        <f t="shared" ca="1" si="8"/>
        <v>0</v>
      </c>
      <c r="I107" t="e">
        <f t="array" aca="1" ref="I107" ca="1">IF(ISBLANK(B107),"",_xll.BDH($B$2&amp;" equity","px last",C107-2,C107-2,"days=a","fill=p","points=1"))</f>
        <v>#NAME?</v>
      </c>
      <c r="J107" t="e">
        <f t="array" aca="1" ref="J107" ca="1">IF(ISBLANK(B107),"",_xll.BDH($B$2&amp;" equity","px last",C107+2,C107+2,"days=a","fill=p","points=1"))</f>
        <v>#NAME?</v>
      </c>
      <c r="K107" s="713" t="str">
        <f t="shared" ca="1" si="9"/>
        <v/>
      </c>
      <c r="L107" s="713" t="str">
        <f t="shared" ca="1" si="10"/>
        <v/>
      </c>
      <c r="M107" s="741" t="str">
        <f t="shared" ca="1" si="11"/>
        <v/>
      </c>
    </row>
    <row r="108" spans="2:13" outlineLevel="1">
      <c r="B108" s="749" t="s">
        <v>1489</v>
      </c>
      <c r="C108" s="1">
        <v>38755</v>
      </c>
      <c r="D108" s="609" t="s">
        <v>1120</v>
      </c>
      <c r="E108">
        <v>-4.5900000000000003E-2</v>
      </c>
      <c r="F108">
        <v>-0.08</v>
      </c>
      <c r="G108">
        <v>-3.1E-2</v>
      </c>
      <c r="H108">
        <f t="shared" ca="1" si="8"/>
        <v>0</v>
      </c>
      <c r="I108" t="e">
        <f t="array" aca="1" ref="I108" ca="1">IF(ISBLANK(B108),"",_xll.BDH($B$2&amp;" equity","px last",C108-2,C108-2,"days=a","fill=p","points=1"))</f>
        <v>#NAME?</v>
      </c>
      <c r="J108" t="e">
        <f t="array" aca="1" ref="J108" ca="1">IF(ISBLANK(B108),"",_xll.BDH($B$2&amp;" equity","px last",C108+2,C108+2,"days=a","fill=p","points=1"))</f>
        <v>#NAME?</v>
      </c>
      <c r="K108" s="713" t="str">
        <f t="shared" ca="1" si="9"/>
        <v/>
      </c>
      <c r="L108" s="713" t="str">
        <f t="shared" ca="1" si="10"/>
        <v/>
      </c>
      <c r="M108" s="741" t="str">
        <f t="shared" ca="1" si="11"/>
        <v/>
      </c>
    </row>
    <row r="109" spans="2:13" outlineLevel="1">
      <c r="B109" t="s">
        <v>1490</v>
      </c>
      <c r="C109" s="1">
        <v>38755</v>
      </c>
      <c r="D109" s="609">
        <v>0.35416666666666669</v>
      </c>
      <c r="E109" t="s">
        <v>1120</v>
      </c>
      <c r="F109">
        <v>0.04</v>
      </c>
      <c r="G109">
        <v>3.3000000000000002E-2</v>
      </c>
    </row>
    <row r="110" spans="2:13" outlineLevel="1">
      <c r="B110" t="s">
        <v>1491</v>
      </c>
      <c r="C110" s="1">
        <v>38652</v>
      </c>
      <c r="D110" s="609">
        <v>0.35416666666666669</v>
      </c>
      <c r="E110" t="s">
        <v>1120</v>
      </c>
      <c r="F110">
        <v>0.02</v>
      </c>
      <c r="G110">
        <v>0</v>
      </c>
    </row>
    <row r="111" spans="2:13" outlineLevel="1">
      <c r="B111" t="s">
        <v>1492</v>
      </c>
      <c r="C111" s="1">
        <v>38652</v>
      </c>
      <c r="D111" s="609">
        <v>0.35416666666666669</v>
      </c>
      <c r="E111">
        <v>-7.8700000000000006E-2</v>
      </c>
      <c r="F111">
        <v>-0.14000000000000001</v>
      </c>
      <c r="G111" t="s">
        <v>1120</v>
      </c>
    </row>
    <row r="112" spans="2:13" outlineLevel="1">
      <c r="B112" t="s">
        <v>1493</v>
      </c>
      <c r="C112" s="1">
        <v>38470</v>
      </c>
      <c r="D112" s="609">
        <v>0.35416666666666669</v>
      </c>
      <c r="E112" t="s">
        <v>1120</v>
      </c>
      <c r="F112">
        <v>-7.0000000000000007E-2</v>
      </c>
      <c r="G112" t="s">
        <v>1120</v>
      </c>
    </row>
    <row r="113" spans="2:7" outlineLevel="1">
      <c r="B113" t="s">
        <v>1494</v>
      </c>
      <c r="C113" s="1">
        <v>38391</v>
      </c>
      <c r="D113" s="609" t="s">
        <v>1120</v>
      </c>
      <c r="E113">
        <v>1.1999999999999999E-3</v>
      </c>
      <c r="F113">
        <v>-0.09</v>
      </c>
      <c r="G113" t="s">
        <v>1120</v>
      </c>
    </row>
    <row r="114" spans="2:7" outlineLevel="1">
      <c r="B114" t="s">
        <v>1495</v>
      </c>
      <c r="C114" s="1">
        <v>38391</v>
      </c>
      <c r="D114" s="609" t="s">
        <v>1120</v>
      </c>
      <c r="E114" t="s">
        <v>1120</v>
      </c>
      <c r="F114">
        <v>-9.5000000000000001E-2</v>
      </c>
      <c r="G114" t="s">
        <v>1120</v>
      </c>
    </row>
    <row r="115" spans="2:7" outlineLevel="1">
      <c r="B115" t="s">
        <v>1496</v>
      </c>
      <c r="C115" s="1">
        <v>38279</v>
      </c>
      <c r="D115" s="609" t="s">
        <v>1120</v>
      </c>
      <c r="E115" t="s">
        <v>1120</v>
      </c>
      <c r="F115">
        <v>1.4999999999999999E-2</v>
      </c>
      <c r="G115" t="s">
        <v>1120</v>
      </c>
    </row>
    <row r="116" spans="2:7" outlineLevel="1">
      <c r="B116" t="s">
        <v>1497</v>
      </c>
      <c r="C116" s="1">
        <v>38188</v>
      </c>
      <c r="D116" s="609" t="s">
        <v>1120</v>
      </c>
      <c r="E116">
        <v>-0.01</v>
      </c>
      <c r="F116">
        <v>-0.01</v>
      </c>
      <c r="G116" t="s">
        <v>1120</v>
      </c>
    </row>
    <row r="117" spans="2:7" outlineLevel="1">
      <c r="B117" t="s">
        <v>1498</v>
      </c>
      <c r="C117" s="1">
        <v>38093</v>
      </c>
      <c r="D117" s="609" t="s">
        <v>1120</v>
      </c>
      <c r="E117" t="s">
        <v>1120</v>
      </c>
      <c r="F117">
        <v>-0.02</v>
      </c>
      <c r="G117" t="s">
        <v>1120</v>
      </c>
    </row>
    <row r="118" spans="2:7" outlineLevel="1">
      <c r="B118" t="s">
        <v>1499</v>
      </c>
      <c r="C118" s="1">
        <v>38027</v>
      </c>
      <c r="D118" s="609" t="s">
        <v>1120</v>
      </c>
      <c r="E118" t="s">
        <v>1120</v>
      </c>
      <c r="F118">
        <v>-0.22</v>
      </c>
      <c r="G118" t="s">
        <v>1120</v>
      </c>
    </row>
    <row r="119" spans="2:7">
      <c r="B119" t="s">
        <v>1500</v>
      </c>
      <c r="C119" s="1">
        <v>38027</v>
      </c>
      <c r="D119" s="609" t="s">
        <v>1120</v>
      </c>
      <c r="E119" t="s">
        <v>1120</v>
      </c>
      <c r="F119">
        <v>-8.5000000000000006E-2</v>
      </c>
      <c r="G119" t="s">
        <v>1120</v>
      </c>
    </row>
    <row r="120" spans="2:7">
      <c r="B120" t="s">
        <v>1501</v>
      </c>
      <c r="C120" s="1">
        <v>37915</v>
      </c>
      <c r="D120" s="609" t="s">
        <v>1120</v>
      </c>
      <c r="E120" t="s">
        <v>1120</v>
      </c>
      <c r="F120">
        <v>-0.06</v>
      </c>
      <c r="G120" t="s">
        <v>1120</v>
      </c>
    </row>
    <row r="121" spans="2:7">
      <c r="B121" t="s">
        <v>1502</v>
      </c>
      <c r="C121" s="1">
        <v>37824</v>
      </c>
      <c r="D121" s="609" t="s">
        <v>1120</v>
      </c>
      <c r="E121" t="s">
        <v>1120</v>
      </c>
      <c r="F121">
        <v>-2.5000000000000001E-2</v>
      </c>
      <c r="G121" t="s">
        <v>1120</v>
      </c>
    </row>
    <row r="122" spans="2:7">
      <c r="B122" t="s">
        <v>1503</v>
      </c>
      <c r="C122" s="1">
        <v>37734</v>
      </c>
      <c r="D122" s="609" t="s">
        <v>1120</v>
      </c>
      <c r="E122" t="s">
        <v>1120</v>
      </c>
      <c r="F122">
        <v>-0.05</v>
      </c>
      <c r="G122" t="s">
        <v>1120</v>
      </c>
    </row>
    <row r="123" spans="2:7">
      <c r="B123" t="s">
        <v>1504</v>
      </c>
      <c r="C123" s="1">
        <v>37663</v>
      </c>
      <c r="D123" s="609" t="s">
        <v>1120</v>
      </c>
      <c r="E123" t="s">
        <v>1120</v>
      </c>
      <c r="F123">
        <v>-0.27</v>
      </c>
      <c r="G123" t="s">
        <v>1120</v>
      </c>
    </row>
    <row r="124" spans="2:7">
      <c r="B124" t="s">
        <v>1505</v>
      </c>
      <c r="C124" s="1">
        <v>37663</v>
      </c>
      <c r="D124" s="609" t="s">
        <v>1120</v>
      </c>
      <c r="E124" t="s">
        <v>1120</v>
      </c>
      <c r="F124">
        <v>-0.15</v>
      </c>
      <c r="G124" t="s">
        <v>1120</v>
      </c>
    </row>
    <row r="125" spans="2:7">
      <c r="B125" t="s">
        <v>1506</v>
      </c>
      <c r="C125" s="1">
        <v>37553</v>
      </c>
      <c r="D125" s="609" t="s">
        <v>1120</v>
      </c>
      <c r="E125" t="s">
        <v>1120</v>
      </c>
      <c r="F125">
        <v>-2.5000000000000001E-2</v>
      </c>
      <c r="G125" t="s">
        <v>1120</v>
      </c>
    </row>
    <row r="126" spans="2:7">
      <c r="B126" t="s">
        <v>1507</v>
      </c>
      <c r="C126" s="1">
        <v>37461</v>
      </c>
      <c r="D126" s="609" t="s">
        <v>1481</v>
      </c>
      <c r="E126" t="s">
        <v>1120</v>
      </c>
      <c r="F126">
        <v>-3.5000000000000003E-2</v>
      </c>
      <c r="G126" t="s">
        <v>1120</v>
      </c>
    </row>
    <row r="127" spans="2:7">
      <c r="B127" t="s">
        <v>1508</v>
      </c>
      <c r="C127" s="1">
        <v>37370</v>
      </c>
      <c r="D127" t="s">
        <v>1481</v>
      </c>
      <c r="E127" t="s">
        <v>1120</v>
      </c>
      <c r="F127">
        <v>-6.5000000000000002E-2</v>
      </c>
      <c r="G127" t="s">
        <v>1120</v>
      </c>
    </row>
    <row r="128" spans="2:7">
      <c r="B128" t="s">
        <v>1509</v>
      </c>
      <c r="C128" s="1">
        <v>37301</v>
      </c>
      <c r="D128" t="s">
        <v>1120</v>
      </c>
      <c r="E128" t="s">
        <v>1120</v>
      </c>
      <c r="F128">
        <v>-0.26500000000000001</v>
      </c>
      <c r="G128" t="s">
        <v>1120</v>
      </c>
    </row>
    <row r="129" spans="2:7">
      <c r="B129" t="s">
        <v>1510</v>
      </c>
      <c r="C129" s="1">
        <v>37301</v>
      </c>
      <c r="D129" t="s">
        <v>1120</v>
      </c>
      <c r="E129" t="s">
        <v>1120</v>
      </c>
      <c r="F129">
        <v>-0.21</v>
      </c>
      <c r="G129" t="s">
        <v>1120</v>
      </c>
    </row>
    <row r="130" spans="2:7">
      <c r="B130" t="s">
        <v>1511</v>
      </c>
      <c r="C130" s="1">
        <v>37189</v>
      </c>
      <c r="D130" t="s">
        <v>1120</v>
      </c>
      <c r="E130" t="s">
        <v>1120</v>
      </c>
      <c r="F130">
        <v>-4.4999999999999998E-2</v>
      </c>
      <c r="G130" t="s">
        <v>1120</v>
      </c>
    </row>
    <row r="131" spans="2:7">
      <c r="B131" t="s">
        <v>1512</v>
      </c>
      <c r="C131" s="1">
        <v>37098</v>
      </c>
      <c r="D131" t="s">
        <v>1120</v>
      </c>
      <c r="E131" t="s">
        <v>1120</v>
      </c>
      <c r="F131">
        <v>-0.01</v>
      </c>
      <c r="G131" t="s">
        <v>1120</v>
      </c>
    </row>
    <row r="132" spans="2:7">
      <c r="B132" t="s">
        <v>1513</v>
      </c>
      <c r="C132" s="1">
        <v>37098</v>
      </c>
      <c r="D132" s="609" t="s">
        <v>1120</v>
      </c>
      <c r="E132" t="s">
        <v>1120</v>
      </c>
      <c r="F132">
        <v>-0.09</v>
      </c>
      <c r="G132" t="s">
        <v>1120</v>
      </c>
    </row>
    <row r="133" spans="2:7">
      <c r="B133" t="s">
        <v>1514</v>
      </c>
      <c r="C133" s="1">
        <v>37006</v>
      </c>
      <c r="D133" t="s">
        <v>1120</v>
      </c>
      <c r="E133" t="s">
        <v>1120</v>
      </c>
      <c r="F133">
        <v>0.08</v>
      </c>
      <c r="G133" t="s">
        <v>1120</v>
      </c>
    </row>
    <row r="134" spans="2:7">
      <c r="B134" t="s">
        <v>1515</v>
      </c>
      <c r="C134" s="1">
        <v>36936</v>
      </c>
      <c r="D134" t="s">
        <v>1481</v>
      </c>
      <c r="E134" t="s">
        <v>1120</v>
      </c>
      <c r="F134">
        <v>0.30499999999999999</v>
      </c>
      <c r="G134" t="s">
        <v>1120</v>
      </c>
    </row>
    <row r="135" spans="2:7">
      <c r="B135" t="s">
        <v>1516</v>
      </c>
      <c r="C135" s="1">
        <v>36937</v>
      </c>
      <c r="D135" t="s">
        <v>1120</v>
      </c>
      <c r="E135">
        <v>0.1356</v>
      </c>
      <c r="F135">
        <v>0.13500000000000001</v>
      </c>
      <c r="G135" t="s">
        <v>1120</v>
      </c>
    </row>
    <row r="136" spans="2:7">
      <c r="B136" t="s">
        <v>1517</v>
      </c>
      <c r="C136" s="1">
        <v>36746</v>
      </c>
      <c r="D136" t="s">
        <v>1120</v>
      </c>
      <c r="E136" t="s">
        <v>1120</v>
      </c>
      <c r="F136">
        <v>0.09</v>
      </c>
      <c r="G136" t="s">
        <v>1120</v>
      </c>
    </row>
    <row r="137" spans="2:7">
      <c r="B137" t="s">
        <v>1518</v>
      </c>
      <c r="C137" s="1">
        <v>36566</v>
      </c>
      <c r="D137" t="s">
        <v>1120</v>
      </c>
      <c r="E137" t="s">
        <v>1120</v>
      </c>
      <c r="F137">
        <v>4.4999999999999998E-2</v>
      </c>
      <c r="G137" t="s">
        <v>1120</v>
      </c>
    </row>
    <row r="138" spans="2:7">
      <c r="B138" t="s">
        <v>1519</v>
      </c>
      <c r="C138" s="1">
        <v>36566</v>
      </c>
      <c r="D138" t="s">
        <v>1120</v>
      </c>
      <c r="E138" t="s">
        <v>1120</v>
      </c>
      <c r="F138">
        <v>6.4500000000000002E-2</v>
      </c>
      <c r="G138" t="s">
        <v>1120</v>
      </c>
    </row>
    <row r="139" spans="2:7">
      <c r="B139" t="s">
        <v>1520</v>
      </c>
      <c r="C139" s="1">
        <v>36466</v>
      </c>
      <c r="D139" t="s">
        <v>1120</v>
      </c>
      <c r="E139" t="s">
        <v>1120</v>
      </c>
      <c r="F139">
        <v>1.4E-2</v>
      </c>
      <c r="G139" t="s">
        <v>1120</v>
      </c>
    </row>
    <row r="140" spans="2:7">
      <c r="C140" s="1"/>
    </row>
  </sheetData>
  <dataValidations disablePrompts="1" count="2">
    <dataValidation type="list" showInputMessage="1" showErrorMessage="1" sqref="M3 U3" xr:uid="{00000000-0002-0000-0400-000000000000}">
      <formula1>$AL$6:$AL$7</formula1>
    </dataValidation>
    <dataValidation type="list" showInputMessage="1" showErrorMessage="1" sqref="Q3" xr:uid="{00000000-0002-0000-0400-000001000000}">
      <formula1>#REF!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C161"/>
  <sheetViews>
    <sheetView workbookViewId="0">
      <selection activeCell="F21" sqref="F21"/>
    </sheetView>
  </sheetViews>
  <sheetFormatPr baseColWidth="10" defaultColWidth="9.1640625" defaultRowHeight="15"/>
  <cols>
    <col min="1" max="2" width="54.83203125" style="612" bestFit="1" customWidth="1"/>
    <col min="3" max="3" width="9.1640625" style="613" customWidth="1"/>
    <col min="4" max="5" width="9.1640625" style="612" customWidth="1"/>
    <col min="6" max="16384" width="9.1640625" style="612"/>
  </cols>
  <sheetData>
    <row r="3" spans="1:3">
      <c r="A3" s="612" t="s">
        <v>1521</v>
      </c>
      <c r="B3" s="612" t="s">
        <v>1521</v>
      </c>
      <c r="C3" s="614">
        <v>1</v>
      </c>
    </row>
    <row r="4" spans="1:3">
      <c r="A4" s="612" t="s">
        <v>1522</v>
      </c>
      <c r="B4" s="612" t="s">
        <v>1522</v>
      </c>
      <c r="C4" s="614">
        <v>1</v>
      </c>
    </row>
    <row r="5" spans="1:3">
      <c r="A5" s="612" t="s">
        <v>1523</v>
      </c>
      <c r="B5" s="612" t="s">
        <v>1524</v>
      </c>
      <c r="C5" s="614">
        <v>1</v>
      </c>
    </row>
    <row r="6" spans="1:3">
      <c r="A6" s="612" t="s">
        <v>1525</v>
      </c>
      <c r="B6" s="612" t="s">
        <v>1526</v>
      </c>
      <c r="C6" s="614">
        <v>1</v>
      </c>
    </row>
    <row r="7" spans="1:3">
      <c r="A7" s="612" t="s">
        <v>1527</v>
      </c>
      <c r="B7" s="612" t="s">
        <v>1527</v>
      </c>
      <c r="C7" s="614">
        <v>1</v>
      </c>
    </row>
    <row r="8" spans="1:3">
      <c r="A8" s="612" t="s">
        <v>1528</v>
      </c>
      <c r="B8" s="612" t="s">
        <v>1528</v>
      </c>
      <c r="C8" s="614">
        <v>1</v>
      </c>
    </row>
    <row r="9" spans="1:3">
      <c r="A9" s="612" t="s">
        <v>1529</v>
      </c>
      <c r="B9" s="612" t="s">
        <v>1530</v>
      </c>
      <c r="C9" s="614">
        <v>1</v>
      </c>
    </row>
    <row r="10" spans="1:3">
      <c r="A10" s="612" t="s">
        <v>1531</v>
      </c>
      <c r="B10" s="612" t="s">
        <v>1531</v>
      </c>
      <c r="C10" s="614">
        <v>1</v>
      </c>
    </row>
    <row r="11" spans="1:3">
      <c r="A11" s="612" t="s">
        <v>1532</v>
      </c>
      <c r="B11" s="612" t="s">
        <v>1533</v>
      </c>
      <c r="C11" s="614">
        <v>1</v>
      </c>
    </row>
    <row r="12" spans="1:3">
      <c r="A12" s="612" t="s">
        <v>1534</v>
      </c>
      <c r="B12" s="612" t="s">
        <v>1534</v>
      </c>
      <c r="C12" s="614">
        <v>1</v>
      </c>
    </row>
    <row r="13" spans="1:3">
      <c r="A13" s="612" t="s">
        <v>1535</v>
      </c>
      <c r="B13" s="612" t="s">
        <v>1535</v>
      </c>
      <c r="C13" s="614">
        <v>1</v>
      </c>
    </row>
    <row r="14" spans="1:3">
      <c r="A14" s="612" t="s">
        <v>1536</v>
      </c>
      <c r="B14" s="612" t="s">
        <v>1536</v>
      </c>
      <c r="C14" s="614">
        <v>1</v>
      </c>
    </row>
    <row r="15" spans="1:3">
      <c r="A15" s="612" t="s">
        <v>1537</v>
      </c>
      <c r="B15" s="612" t="s">
        <v>1537</v>
      </c>
      <c r="C15" s="614">
        <v>1</v>
      </c>
    </row>
    <row r="16" spans="1:3">
      <c r="A16" s="612" t="s">
        <v>1538</v>
      </c>
      <c r="B16" s="612" t="s">
        <v>1538</v>
      </c>
      <c r="C16" s="614">
        <v>1</v>
      </c>
    </row>
    <row r="17" spans="1:3">
      <c r="A17" s="612" t="s">
        <v>1539</v>
      </c>
      <c r="B17" s="612" t="s">
        <v>1539</v>
      </c>
      <c r="C17" s="614">
        <v>1</v>
      </c>
    </row>
    <row r="18" spans="1:3">
      <c r="A18" s="612" t="s">
        <v>1540</v>
      </c>
      <c r="B18" s="612" t="s">
        <v>1540</v>
      </c>
      <c r="C18" s="614">
        <v>1</v>
      </c>
    </row>
    <row r="19" spans="1:3">
      <c r="A19" s="612" t="s">
        <v>1541</v>
      </c>
      <c r="B19" s="612" t="s">
        <v>1541</v>
      </c>
      <c r="C19" s="614">
        <v>1</v>
      </c>
    </row>
    <row r="20" spans="1:3">
      <c r="A20" s="612" t="s">
        <v>1542</v>
      </c>
      <c r="B20" s="612" t="s">
        <v>1543</v>
      </c>
      <c r="C20" s="614">
        <v>1</v>
      </c>
    </row>
    <row r="21" spans="1:3">
      <c r="A21" s="612" t="s">
        <v>1544</v>
      </c>
      <c r="B21" s="612" t="s">
        <v>1544</v>
      </c>
      <c r="C21" s="614">
        <v>1</v>
      </c>
    </row>
    <row r="22" spans="1:3">
      <c r="A22" s="612" t="s">
        <v>1545</v>
      </c>
      <c r="B22" s="612" t="s">
        <v>1545</v>
      </c>
      <c r="C22" s="614">
        <v>1</v>
      </c>
    </row>
    <row r="23" spans="1:3">
      <c r="A23" s="612" t="s">
        <v>1546</v>
      </c>
      <c r="B23" s="612" t="s">
        <v>1546</v>
      </c>
      <c r="C23" s="614">
        <v>1</v>
      </c>
    </row>
    <row r="24" spans="1:3">
      <c r="A24" s="612" t="s">
        <v>1547</v>
      </c>
      <c r="B24" s="612" t="s">
        <v>1547</v>
      </c>
      <c r="C24" s="614">
        <v>1</v>
      </c>
    </row>
    <row r="25" spans="1:3">
      <c r="A25" s="612" t="s">
        <v>1548</v>
      </c>
      <c r="B25" s="612" t="s">
        <v>1549</v>
      </c>
      <c r="C25" s="614">
        <v>1</v>
      </c>
    </row>
    <row r="26" spans="1:3">
      <c r="A26" s="612" t="s">
        <v>1550</v>
      </c>
      <c r="B26" s="612" t="s">
        <v>1550</v>
      </c>
      <c r="C26" s="614">
        <v>1</v>
      </c>
    </row>
    <row r="27" spans="1:3">
      <c r="A27" s="612" t="s">
        <v>1551</v>
      </c>
      <c r="B27" s="612" t="s">
        <v>1551</v>
      </c>
      <c r="C27" s="614">
        <v>1</v>
      </c>
    </row>
    <row r="28" spans="1:3">
      <c r="A28" s="612" t="s">
        <v>1552</v>
      </c>
      <c r="B28" s="612" t="s">
        <v>1552</v>
      </c>
      <c r="C28" s="614">
        <v>1</v>
      </c>
    </row>
    <row r="29" spans="1:3">
      <c r="A29" s="612" t="s">
        <v>1553</v>
      </c>
      <c r="B29" s="612" t="s">
        <v>1554</v>
      </c>
      <c r="C29" s="614">
        <v>1</v>
      </c>
    </row>
    <row r="30" spans="1:3">
      <c r="A30" s="612" t="s">
        <v>1555</v>
      </c>
      <c r="B30" s="612" t="s">
        <v>1556</v>
      </c>
      <c r="C30" s="614">
        <v>1</v>
      </c>
    </row>
    <row r="31" spans="1:3">
      <c r="A31" s="612" t="s">
        <v>1557</v>
      </c>
      <c r="B31" s="612" t="s">
        <v>1557</v>
      </c>
      <c r="C31" s="614">
        <v>1</v>
      </c>
    </row>
    <row r="32" spans="1:3">
      <c r="A32" s="612" t="s">
        <v>1558</v>
      </c>
      <c r="B32" s="612" t="s">
        <v>1558</v>
      </c>
      <c r="C32" s="614">
        <v>1</v>
      </c>
    </row>
    <row r="33" spans="1:3">
      <c r="A33" s="612" t="s">
        <v>1556</v>
      </c>
      <c r="B33" s="612" t="s">
        <v>1556</v>
      </c>
      <c r="C33" s="614">
        <v>1</v>
      </c>
    </row>
    <row r="34" spans="1:3">
      <c r="A34" s="612" t="s">
        <v>1559</v>
      </c>
      <c r="B34" s="612" t="s">
        <v>1559</v>
      </c>
      <c r="C34" s="615">
        <v>-1</v>
      </c>
    </row>
    <row r="35" spans="1:3">
      <c r="A35" s="612" t="s">
        <v>1560</v>
      </c>
      <c r="B35" s="612" t="s">
        <v>1560</v>
      </c>
      <c r="C35" s="615">
        <v>-1</v>
      </c>
    </row>
    <row r="36" spans="1:3">
      <c r="A36" s="612" t="s">
        <v>1561</v>
      </c>
      <c r="B36" s="612" t="s">
        <v>1562</v>
      </c>
      <c r="C36" s="615">
        <v>-1</v>
      </c>
    </row>
    <row r="37" spans="1:3">
      <c r="A37" s="612" t="s">
        <v>1563</v>
      </c>
      <c r="B37" s="612" t="s">
        <v>1563</v>
      </c>
      <c r="C37" s="615">
        <v>-1</v>
      </c>
    </row>
    <row r="38" spans="1:3">
      <c r="A38" s="612" t="s">
        <v>1564</v>
      </c>
      <c r="B38" s="612" t="s">
        <v>1564</v>
      </c>
      <c r="C38" s="615">
        <v>-1</v>
      </c>
    </row>
    <row r="39" spans="1:3">
      <c r="A39" s="612" t="s">
        <v>1565</v>
      </c>
      <c r="B39" s="612" t="s">
        <v>1565</v>
      </c>
      <c r="C39" s="615">
        <v>-1</v>
      </c>
    </row>
    <row r="40" spans="1:3">
      <c r="A40" s="612" t="s">
        <v>1566</v>
      </c>
      <c r="B40" s="612" t="s">
        <v>1566</v>
      </c>
      <c r="C40" s="615">
        <v>-1</v>
      </c>
    </row>
    <row r="41" spans="1:3">
      <c r="A41" s="612" t="s">
        <v>1567</v>
      </c>
      <c r="B41" s="612" t="s">
        <v>1567</v>
      </c>
      <c r="C41" s="615">
        <v>-1</v>
      </c>
    </row>
    <row r="42" spans="1:3">
      <c r="A42" s="612" t="s">
        <v>1568</v>
      </c>
      <c r="B42" s="612" t="s">
        <v>1568</v>
      </c>
      <c r="C42" s="615">
        <v>-1</v>
      </c>
    </row>
    <row r="43" spans="1:3">
      <c r="A43" s="612" t="s">
        <v>1569</v>
      </c>
      <c r="B43" s="612" t="s">
        <v>1569</v>
      </c>
      <c r="C43" s="615">
        <v>-1</v>
      </c>
    </row>
    <row r="44" spans="1:3">
      <c r="A44" s="612" t="s">
        <v>1570</v>
      </c>
      <c r="B44" s="612" t="s">
        <v>1570</v>
      </c>
      <c r="C44" s="615">
        <v>-1</v>
      </c>
    </row>
    <row r="45" spans="1:3">
      <c r="A45" s="612" t="s">
        <v>1571</v>
      </c>
      <c r="B45" s="612" t="s">
        <v>1571</v>
      </c>
      <c r="C45" s="615">
        <v>-1</v>
      </c>
    </row>
    <row r="46" spans="1:3">
      <c r="A46" s="612" t="s">
        <v>1572</v>
      </c>
      <c r="B46" s="612" t="s">
        <v>1572</v>
      </c>
      <c r="C46" s="615">
        <v>-1</v>
      </c>
    </row>
    <row r="47" spans="1:3">
      <c r="A47" s="612" t="s">
        <v>1573</v>
      </c>
      <c r="B47" s="612" t="s">
        <v>1573</v>
      </c>
      <c r="C47" s="615">
        <v>-1</v>
      </c>
    </row>
    <row r="48" spans="1:3">
      <c r="A48" s="612" t="s">
        <v>1574</v>
      </c>
      <c r="B48" s="612" t="s">
        <v>1574</v>
      </c>
      <c r="C48" s="615">
        <v>-1</v>
      </c>
    </row>
    <row r="49" spans="1:3">
      <c r="A49" s="612" t="s">
        <v>1575</v>
      </c>
      <c r="B49" s="612" t="s">
        <v>1575</v>
      </c>
      <c r="C49" s="615">
        <v>-1</v>
      </c>
    </row>
    <row r="50" spans="1:3">
      <c r="A50" s="612" t="s">
        <v>1576</v>
      </c>
      <c r="B50" s="612" t="s">
        <v>1576</v>
      </c>
      <c r="C50" s="615">
        <v>-1</v>
      </c>
    </row>
    <row r="51" spans="1:3">
      <c r="A51" s="612" t="s">
        <v>1577</v>
      </c>
      <c r="B51" s="612" t="s">
        <v>1577</v>
      </c>
      <c r="C51" s="615">
        <v>-1</v>
      </c>
    </row>
    <row r="52" spans="1:3">
      <c r="A52" s="612" t="s">
        <v>1578</v>
      </c>
      <c r="B52" s="612" t="s">
        <v>1578</v>
      </c>
      <c r="C52" s="615">
        <v>-1</v>
      </c>
    </row>
    <row r="53" spans="1:3">
      <c r="A53" s="612" t="s">
        <v>1579</v>
      </c>
      <c r="B53" s="612" t="s">
        <v>1579</v>
      </c>
      <c r="C53" s="615">
        <v>-1</v>
      </c>
    </row>
    <row r="54" spans="1:3">
      <c r="A54" s="612" t="s">
        <v>1580</v>
      </c>
      <c r="B54" s="612" t="s">
        <v>1581</v>
      </c>
      <c r="C54" s="615">
        <v>-1</v>
      </c>
    </row>
    <row r="55" spans="1:3">
      <c r="A55" s="612" t="s">
        <v>1582</v>
      </c>
      <c r="B55" s="612" t="s">
        <v>1582</v>
      </c>
      <c r="C55" s="615">
        <v>-1</v>
      </c>
    </row>
    <row r="56" spans="1:3">
      <c r="A56" s="612" t="s">
        <v>1583</v>
      </c>
      <c r="B56" s="612" t="s">
        <v>1583</v>
      </c>
      <c r="C56" s="615">
        <v>-1</v>
      </c>
    </row>
    <row r="57" spans="1:3">
      <c r="A57" s="612" t="s">
        <v>1584</v>
      </c>
      <c r="B57" s="612" t="s">
        <v>1584</v>
      </c>
      <c r="C57" s="615">
        <v>-1</v>
      </c>
    </row>
    <row r="58" spans="1:3">
      <c r="A58" s="612" t="s">
        <v>1585</v>
      </c>
      <c r="B58" s="612" t="s">
        <v>1585</v>
      </c>
      <c r="C58" s="615">
        <v>-1</v>
      </c>
    </row>
    <row r="59" spans="1:3">
      <c r="A59" s="612" t="s">
        <v>1586</v>
      </c>
      <c r="B59" s="612" t="s">
        <v>1586</v>
      </c>
      <c r="C59" s="615">
        <v>-1</v>
      </c>
    </row>
    <row r="60" spans="1:3">
      <c r="A60" s="612" t="s">
        <v>1587</v>
      </c>
      <c r="B60" s="612" t="s">
        <v>1587</v>
      </c>
      <c r="C60" s="615">
        <v>-1</v>
      </c>
    </row>
    <row r="61" spans="1:3">
      <c r="A61" s="612" t="s">
        <v>1588</v>
      </c>
      <c r="B61" s="612" t="s">
        <v>1588</v>
      </c>
      <c r="C61" s="615">
        <v>-1</v>
      </c>
    </row>
    <row r="62" spans="1:3">
      <c r="A62" s="612" t="s">
        <v>1589</v>
      </c>
      <c r="B62" s="612" t="s">
        <v>1589</v>
      </c>
      <c r="C62" s="615">
        <v>-1</v>
      </c>
    </row>
    <row r="63" spans="1:3">
      <c r="A63" s="612" t="s">
        <v>1590</v>
      </c>
      <c r="B63" s="612" t="s">
        <v>1591</v>
      </c>
      <c r="C63" s="615">
        <v>-1</v>
      </c>
    </row>
    <row r="64" spans="1:3">
      <c r="A64" s="612" t="s">
        <v>1592</v>
      </c>
      <c r="B64" s="612" t="s">
        <v>1592</v>
      </c>
      <c r="C64" s="615">
        <v>-1</v>
      </c>
    </row>
    <row r="65" spans="1:3">
      <c r="A65" s="612" t="s">
        <v>1593</v>
      </c>
      <c r="B65" s="612" t="s">
        <v>1593</v>
      </c>
      <c r="C65" s="615">
        <v>-1</v>
      </c>
    </row>
    <row r="66" spans="1:3">
      <c r="A66" s="612" t="s">
        <v>1594</v>
      </c>
      <c r="B66" s="612" t="s">
        <v>1594</v>
      </c>
      <c r="C66" s="615">
        <v>-1</v>
      </c>
    </row>
    <row r="67" spans="1:3">
      <c r="A67" s="612" t="s">
        <v>1595</v>
      </c>
      <c r="B67" s="612" t="s">
        <v>1595</v>
      </c>
      <c r="C67" s="615">
        <v>-1</v>
      </c>
    </row>
    <row r="68" spans="1:3">
      <c r="A68" s="612" t="s">
        <v>1596</v>
      </c>
      <c r="B68" s="612" t="s">
        <v>1596</v>
      </c>
      <c r="C68" s="615">
        <v>-1</v>
      </c>
    </row>
    <row r="69" spans="1:3">
      <c r="A69" s="612" t="s">
        <v>1597</v>
      </c>
      <c r="B69" s="612" t="s">
        <v>1597</v>
      </c>
      <c r="C69" s="615">
        <v>-1</v>
      </c>
    </row>
    <row r="70" spans="1:3">
      <c r="A70" s="612" t="s">
        <v>1598</v>
      </c>
      <c r="B70" s="612" t="s">
        <v>1598</v>
      </c>
      <c r="C70" s="615">
        <v>-1</v>
      </c>
    </row>
    <row r="71" spans="1:3">
      <c r="A71" s="612" t="s">
        <v>1599</v>
      </c>
      <c r="B71" s="612" t="s">
        <v>1599</v>
      </c>
      <c r="C71" s="615">
        <v>-1</v>
      </c>
    </row>
    <row r="72" spans="1:3">
      <c r="A72" s="612" t="s">
        <v>1600</v>
      </c>
      <c r="B72" s="612" t="s">
        <v>1600</v>
      </c>
      <c r="C72" s="615">
        <v>-1</v>
      </c>
    </row>
    <row r="73" spans="1:3">
      <c r="A73" s="612" t="s">
        <v>1601</v>
      </c>
      <c r="B73" s="612" t="s">
        <v>1601</v>
      </c>
      <c r="C73" s="615">
        <v>-1</v>
      </c>
    </row>
    <row r="74" spans="1:3">
      <c r="A74" s="612" t="s">
        <v>1602</v>
      </c>
      <c r="B74" s="612" t="s">
        <v>1602</v>
      </c>
      <c r="C74" s="615">
        <v>-1</v>
      </c>
    </row>
    <row r="75" spans="1:3">
      <c r="A75" s="612" t="s">
        <v>1603</v>
      </c>
      <c r="B75" s="612" t="s">
        <v>1603</v>
      </c>
      <c r="C75" s="615">
        <v>-1</v>
      </c>
    </row>
    <row r="76" spans="1:3">
      <c r="A76" s="612" t="s">
        <v>1604</v>
      </c>
      <c r="B76" s="612" t="s">
        <v>1604</v>
      </c>
      <c r="C76" s="615">
        <v>-1</v>
      </c>
    </row>
    <row r="77" spans="1:3">
      <c r="A77" s="612" t="s">
        <v>1605</v>
      </c>
      <c r="B77" s="612" t="s">
        <v>1605</v>
      </c>
      <c r="C77" s="615">
        <v>-1</v>
      </c>
    </row>
    <row r="78" spans="1:3">
      <c r="A78" s="612" t="s">
        <v>1606</v>
      </c>
      <c r="B78" s="612" t="s">
        <v>1606</v>
      </c>
      <c r="C78" s="615">
        <v>-1</v>
      </c>
    </row>
    <row r="79" spans="1:3">
      <c r="A79" s="612" t="s">
        <v>1607</v>
      </c>
      <c r="B79" s="612" t="s">
        <v>1607</v>
      </c>
      <c r="C79" s="615">
        <v>-1</v>
      </c>
    </row>
    <row r="80" spans="1:3">
      <c r="A80" s="612" t="s">
        <v>1608</v>
      </c>
      <c r="B80" s="612" t="s">
        <v>1608</v>
      </c>
      <c r="C80" s="615">
        <v>-1</v>
      </c>
    </row>
    <row r="81" spans="1:3">
      <c r="A81" s="612" t="s">
        <v>1609</v>
      </c>
      <c r="B81" s="612" t="s">
        <v>1610</v>
      </c>
      <c r="C81" s="615">
        <v>-1</v>
      </c>
    </row>
    <row r="82" spans="1:3">
      <c r="A82" s="612" t="s">
        <v>1611</v>
      </c>
      <c r="B82" s="612" t="s">
        <v>1611</v>
      </c>
      <c r="C82" s="615">
        <v>-1</v>
      </c>
    </row>
    <row r="83" spans="1:3">
      <c r="A83" s="612" t="s">
        <v>1612</v>
      </c>
      <c r="B83" s="612" t="s">
        <v>1613</v>
      </c>
      <c r="C83" s="615">
        <v>-1</v>
      </c>
    </row>
    <row r="84" spans="1:3">
      <c r="A84" s="612" t="s">
        <v>1614</v>
      </c>
      <c r="B84" s="612" t="s">
        <v>1614</v>
      </c>
      <c r="C84" s="615">
        <v>-1</v>
      </c>
    </row>
    <row r="85" spans="1:3">
      <c r="A85" s="612" t="s">
        <v>1615</v>
      </c>
      <c r="B85" s="612" t="s">
        <v>1616</v>
      </c>
      <c r="C85" s="615">
        <v>-1</v>
      </c>
    </row>
    <row r="86" spans="1:3">
      <c r="A86" s="612" t="s">
        <v>1617</v>
      </c>
      <c r="B86" s="612" t="s">
        <v>1617</v>
      </c>
      <c r="C86" s="615">
        <v>-1</v>
      </c>
    </row>
    <row r="87" spans="1:3">
      <c r="A87" s="612" t="s">
        <v>1618</v>
      </c>
      <c r="B87" s="612" t="s">
        <v>1618</v>
      </c>
      <c r="C87" s="615">
        <v>-1</v>
      </c>
    </row>
    <row r="88" spans="1:3">
      <c r="A88" s="612" t="s">
        <v>1619</v>
      </c>
      <c r="B88" s="612" t="s">
        <v>1620</v>
      </c>
      <c r="C88" s="615">
        <v>-1</v>
      </c>
    </row>
    <row r="89" spans="1:3">
      <c r="A89" s="612" t="s">
        <v>1621</v>
      </c>
      <c r="B89" s="612" t="s">
        <v>1621</v>
      </c>
      <c r="C89" s="615">
        <v>-1</v>
      </c>
    </row>
    <row r="90" spans="1:3">
      <c r="A90" s="612" t="s">
        <v>1622</v>
      </c>
      <c r="B90" s="612" t="s">
        <v>1622</v>
      </c>
      <c r="C90" s="615">
        <v>-1</v>
      </c>
    </row>
    <row r="91" spans="1:3">
      <c r="A91" s="612" t="s">
        <v>1623</v>
      </c>
      <c r="B91" s="612" t="s">
        <v>1623</v>
      </c>
      <c r="C91" s="615">
        <v>-1</v>
      </c>
    </row>
    <row r="92" spans="1:3">
      <c r="A92" s="612" t="s">
        <v>1624</v>
      </c>
      <c r="B92" s="612" t="s">
        <v>1624</v>
      </c>
      <c r="C92" s="615">
        <v>-1</v>
      </c>
    </row>
    <row r="93" spans="1:3">
      <c r="A93" s="612" t="s">
        <v>1625</v>
      </c>
      <c r="B93" s="612" t="s">
        <v>1625</v>
      </c>
      <c r="C93" s="615">
        <v>-1</v>
      </c>
    </row>
    <row r="94" spans="1:3">
      <c r="A94" s="612" t="s">
        <v>1626</v>
      </c>
      <c r="B94" s="612" t="s">
        <v>1626</v>
      </c>
      <c r="C94" s="615">
        <v>-1</v>
      </c>
    </row>
    <row r="95" spans="1:3">
      <c r="A95" s="612" t="s">
        <v>1627</v>
      </c>
      <c r="B95" s="612" t="s">
        <v>1627</v>
      </c>
      <c r="C95" s="615">
        <v>-1</v>
      </c>
    </row>
    <row r="96" spans="1:3">
      <c r="A96" s="612" t="s">
        <v>1628</v>
      </c>
      <c r="B96" s="612" t="s">
        <v>1628</v>
      </c>
      <c r="C96" s="615">
        <v>-1</v>
      </c>
    </row>
    <row r="97" spans="1:3">
      <c r="A97" s="612" t="s">
        <v>1629</v>
      </c>
      <c r="B97" s="612" t="s">
        <v>1629</v>
      </c>
      <c r="C97" s="615">
        <v>-1</v>
      </c>
    </row>
    <row r="98" spans="1:3">
      <c r="A98" s="612" t="s">
        <v>1630</v>
      </c>
      <c r="B98" s="612" t="s">
        <v>1630</v>
      </c>
      <c r="C98" s="615">
        <v>-1</v>
      </c>
    </row>
    <row r="99" spans="1:3">
      <c r="A99" s="612" t="s">
        <v>1631</v>
      </c>
      <c r="B99" s="612" t="s">
        <v>1632</v>
      </c>
      <c r="C99" s="615">
        <v>-1</v>
      </c>
    </row>
    <row r="100" spans="1:3">
      <c r="A100" s="612" t="s">
        <v>1633</v>
      </c>
      <c r="B100" s="612" t="s">
        <v>1633</v>
      </c>
      <c r="C100" s="615">
        <v>-1</v>
      </c>
    </row>
    <row r="101" spans="1:3">
      <c r="A101" s="612" t="s">
        <v>1634</v>
      </c>
      <c r="B101" s="612" t="s">
        <v>1634</v>
      </c>
      <c r="C101" s="615">
        <v>-1</v>
      </c>
    </row>
    <row r="102" spans="1:3">
      <c r="A102" s="612" t="s">
        <v>1635</v>
      </c>
      <c r="B102" s="612" t="s">
        <v>1635</v>
      </c>
      <c r="C102" s="615">
        <v>-1</v>
      </c>
    </row>
    <row r="103" spans="1:3">
      <c r="A103" s="612" t="s">
        <v>1636</v>
      </c>
      <c r="B103" s="612" t="s">
        <v>1636</v>
      </c>
      <c r="C103" s="615">
        <v>-1</v>
      </c>
    </row>
    <row r="104" spans="1:3">
      <c r="A104" s="612" t="s">
        <v>1637</v>
      </c>
      <c r="B104" s="612" t="s">
        <v>1637</v>
      </c>
      <c r="C104" s="615">
        <v>-1</v>
      </c>
    </row>
    <row r="105" spans="1:3">
      <c r="A105" s="612" t="s">
        <v>1638</v>
      </c>
      <c r="B105" s="612" t="s">
        <v>1638</v>
      </c>
      <c r="C105" s="615">
        <v>-1</v>
      </c>
    </row>
    <row r="106" spans="1:3">
      <c r="A106" s="612" t="s">
        <v>1639</v>
      </c>
      <c r="B106" s="612" t="s">
        <v>1640</v>
      </c>
      <c r="C106" s="616">
        <v>0</v>
      </c>
    </row>
    <row r="107" spans="1:3">
      <c r="A107" s="612" t="s">
        <v>1641</v>
      </c>
      <c r="B107" s="612" t="s">
        <v>1641</v>
      </c>
      <c r="C107" s="616">
        <v>0</v>
      </c>
    </row>
    <row r="108" spans="1:3">
      <c r="A108" s="612" t="s">
        <v>1642</v>
      </c>
      <c r="B108" s="612" t="s">
        <v>1642</v>
      </c>
      <c r="C108" s="616">
        <v>0</v>
      </c>
    </row>
    <row r="109" spans="1:3">
      <c r="A109" s="612" t="s">
        <v>1643</v>
      </c>
      <c r="B109" s="612" t="s">
        <v>1643</v>
      </c>
      <c r="C109" s="616">
        <v>0</v>
      </c>
    </row>
    <row r="110" spans="1:3">
      <c r="A110" s="612" t="s">
        <v>1644</v>
      </c>
      <c r="B110" s="612" t="s">
        <v>1644</v>
      </c>
      <c r="C110" s="616">
        <v>0</v>
      </c>
    </row>
    <row r="111" spans="1:3">
      <c r="A111" s="612" t="s">
        <v>1645</v>
      </c>
      <c r="B111" s="612" t="s">
        <v>1645</v>
      </c>
      <c r="C111" s="616">
        <v>0</v>
      </c>
    </row>
    <row r="112" spans="1:3">
      <c r="A112" s="612" t="s">
        <v>1646</v>
      </c>
      <c r="B112" s="612" t="s">
        <v>1646</v>
      </c>
      <c r="C112" s="616">
        <v>0</v>
      </c>
    </row>
    <row r="113" spans="1:3">
      <c r="A113" s="612" t="s">
        <v>1647</v>
      </c>
      <c r="B113" s="612" t="s">
        <v>1647</v>
      </c>
      <c r="C113" s="616">
        <v>0</v>
      </c>
    </row>
    <row r="114" spans="1:3">
      <c r="A114" s="612" t="s">
        <v>1648</v>
      </c>
      <c r="B114" s="612" t="s">
        <v>1648</v>
      </c>
      <c r="C114" s="616">
        <v>0</v>
      </c>
    </row>
    <row r="115" spans="1:3">
      <c r="A115" s="612" t="s">
        <v>1649</v>
      </c>
      <c r="B115" s="612" t="s">
        <v>1649</v>
      </c>
      <c r="C115" s="616">
        <v>0</v>
      </c>
    </row>
    <row r="116" spans="1:3">
      <c r="A116" s="612" t="s">
        <v>1650</v>
      </c>
      <c r="B116" s="612" t="s">
        <v>1650</v>
      </c>
      <c r="C116" s="616">
        <v>0</v>
      </c>
    </row>
    <row r="117" spans="1:3">
      <c r="A117" s="612" t="s">
        <v>1651</v>
      </c>
      <c r="B117" s="612" t="s">
        <v>1651</v>
      </c>
      <c r="C117" s="616">
        <v>0</v>
      </c>
    </row>
    <row r="118" spans="1:3">
      <c r="A118" s="612" t="s">
        <v>1652</v>
      </c>
      <c r="B118" s="612" t="s">
        <v>1653</v>
      </c>
      <c r="C118" s="616">
        <v>0</v>
      </c>
    </row>
    <row r="119" spans="1:3">
      <c r="A119" s="612" t="s">
        <v>1654</v>
      </c>
      <c r="B119" s="612" t="s">
        <v>1654</v>
      </c>
      <c r="C119" s="616">
        <v>0</v>
      </c>
    </row>
    <row r="120" spans="1:3">
      <c r="A120" s="612" t="s">
        <v>1655</v>
      </c>
      <c r="B120" s="612" t="s">
        <v>1656</v>
      </c>
      <c r="C120" s="616">
        <v>0</v>
      </c>
    </row>
    <row r="121" spans="1:3">
      <c r="A121" s="612" t="s">
        <v>1657</v>
      </c>
      <c r="B121" s="612" t="s">
        <v>1657</v>
      </c>
      <c r="C121" s="616">
        <v>0</v>
      </c>
    </row>
    <row r="122" spans="1:3">
      <c r="A122" s="612" t="s">
        <v>1658</v>
      </c>
      <c r="B122" s="612" t="s">
        <v>1658</v>
      </c>
      <c r="C122" s="616">
        <v>0</v>
      </c>
    </row>
    <row r="123" spans="1:3">
      <c r="A123" s="612" t="s">
        <v>1659</v>
      </c>
      <c r="B123" s="612" t="s">
        <v>1659</v>
      </c>
      <c r="C123" s="616">
        <v>0</v>
      </c>
    </row>
    <row r="124" spans="1:3">
      <c r="A124" s="612" t="s">
        <v>1660</v>
      </c>
      <c r="B124" s="612" t="s">
        <v>1661</v>
      </c>
      <c r="C124" s="616">
        <v>0</v>
      </c>
    </row>
    <row r="125" spans="1:3">
      <c r="A125" s="612" t="s">
        <v>1662</v>
      </c>
      <c r="B125" s="612" t="s">
        <v>1662</v>
      </c>
      <c r="C125" s="616">
        <v>0</v>
      </c>
    </row>
    <row r="126" spans="1:3">
      <c r="A126" s="612" t="s">
        <v>1663</v>
      </c>
      <c r="B126" s="612" t="s">
        <v>1663</v>
      </c>
      <c r="C126" s="616">
        <v>0</v>
      </c>
    </row>
    <row r="127" spans="1:3">
      <c r="A127" s="612" t="s">
        <v>1664</v>
      </c>
      <c r="B127" s="612" t="s">
        <v>1664</v>
      </c>
      <c r="C127" s="616">
        <v>0</v>
      </c>
    </row>
    <row r="128" spans="1:3">
      <c r="A128" s="612" t="s">
        <v>1665</v>
      </c>
      <c r="B128" s="612" t="s">
        <v>1666</v>
      </c>
      <c r="C128" s="616">
        <v>0</v>
      </c>
    </row>
    <row r="129" spans="1:3">
      <c r="A129" s="612" t="s">
        <v>1667</v>
      </c>
      <c r="B129" s="612" t="s">
        <v>1668</v>
      </c>
      <c r="C129" s="616">
        <v>0</v>
      </c>
    </row>
    <row r="130" spans="1:3">
      <c r="A130" s="612" t="s">
        <v>1669</v>
      </c>
      <c r="B130" s="612" t="s">
        <v>1669</v>
      </c>
      <c r="C130" s="616">
        <v>0</v>
      </c>
    </row>
    <row r="131" spans="1:3">
      <c r="A131" s="612" t="s">
        <v>1670</v>
      </c>
      <c r="B131" s="612" t="s">
        <v>1670</v>
      </c>
      <c r="C131" s="616">
        <v>0</v>
      </c>
    </row>
    <row r="132" spans="1:3">
      <c r="A132" s="612" t="s">
        <v>1671</v>
      </c>
      <c r="B132" s="612" t="s">
        <v>1671</v>
      </c>
      <c r="C132" s="616">
        <v>0</v>
      </c>
    </row>
    <row r="133" spans="1:3">
      <c r="A133" s="612" t="s">
        <v>1672</v>
      </c>
      <c r="B133" s="612" t="s">
        <v>1672</v>
      </c>
      <c r="C133" s="616">
        <v>0</v>
      </c>
    </row>
    <row r="134" spans="1:3">
      <c r="A134" s="612" t="s">
        <v>1673</v>
      </c>
      <c r="B134" s="612" t="s">
        <v>1673</v>
      </c>
      <c r="C134" s="616">
        <v>0</v>
      </c>
    </row>
    <row r="135" spans="1:3">
      <c r="A135" s="612" t="s">
        <v>1674</v>
      </c>
      <c r="B135" s="612" t="s">
        <v>1674</v>
      </c>
      <c r="C135" s="616">
        <v>0</v>
      </c>
    </row>
    <row r="136" spans="1:3">
      <c r="A136" s="612" t="s">
        <v>1675</v>
      </c>
      <c r="B136" s="612" t="s">
        <v>1675</v>
      </c>
      <c r="C136" s="616">
        <v>0</v>
      </c>
    </row>
    <row r="137" spans="1:3">
      <c r="A137" s="612" t="s">
        <v>1676</v>
      </c>
      <c r="B137" s="612" t="s">
        <v>1676</v>
      </c>
      <c r="C137" s="616">
        <v>0</v>
      </c>
    </row>
    <row r="138" spans="1:3">
      <c r="A138" s="612" t="s">
        <v>1677</v>
      </c>
      <c r="B138" s="612" t="s">
        <v>1677</v>
      </c>
      <c r="C138" s="616">
        <v>0</v>
      </c>
    </row>
    <row r="139" spans="1:3">
      <c r="A139" s="612" t="s">
        <v>1678</v>
      </c>
      <c r="B139" s="612" t="s">
        <v>1678</v>
      </c>
      <c r="C139" s="616">
        <v>0</v>
      </c>
    </row>
    <row r="140" spans="1:3">
      <c r="A140" s="612" t="s">
        <v>1679</v>
      </c>
      <c r="B140" s="612" t="s">
        <v>1680</v>
      </c>
      <c r="C140" s="616">
        <v>0</v>
      </c>
    </row>
    <row r="141" spans="1:3">
      <c r="A141" s="612" t="s">
        <v>1681</v>
      </c>
      <c r="B141" s="612" t="s">
        <v>1682</v>
      </c>
      <c r="C141" s="616">
        <v>0</v>
      </c>
    </row>
    <row r="142" spans="1:3">
      <c r="A142" s="612" t="s">
        <v>1683</v>
      </c>
      <c r="B142" s="612" t="s">
        <v>1684</v>
      </c>
      <c r="C142" s="616">
        <v>0</v>
      </c>
    </row>
    <row r="143" spans="1:3">
      <c r="A143" s="612" t="s">
        <v>1685</v>
      </c>
      <c r="B143" s="612" t="s">
        <v>1685</v>
      </c>
      <c r="C143" s="616">
        <v>0</v>
      </c>
    </row>
    <row r="144" spans="1:3">
      <c r="A144" s="612" t="s">
        <v>1686</v>
      </c>
      <c r="B144" s="612" t="s">
        <v>1686</v>
      </c>
      <c r="C144" s="616">
        <v>0</v>
      </c>
    </row>
    <row r="145" spans="1:3">
      <c r="A145" s="612" t="s">
        <v>1687</v>
      </c>
      <c r="B145" s="612" t="s">
        <v>1688</v>
      </c>
      <c r="C145" s="616">
        <v>0</v>
      </c>
    </row>
    <row r="146" spans="1:3">
      <c r="A146" s="612" t="s">
        <v>1689</v>
      </c>
      <c r="B146" s="612" t="s">
        <v>1689</v>
      </c>
      <c r="C146" s="616">
        <v>0</v>
      </c>
    </row>
    <row r="147" spans="1:3">
      <c r="A147" s="612" t="s">
        <v>1690</v>
      </c>
      <c r="B147" s="612" t="s">
        <v>1690</v>
      </c>
      <c r="C147" s="616">
        <v>0</v>
      </c>
    </row>
    <row r="148" spans="1:3">
      <c r="A148" s="612" t="s">
        <v>1691</v>
      </c>
      <c r="B148" s="612" t="s">
        <v>1691</v>
      </c>
      <c r="C148" s="616">
        <v>0</v>
      </c>
    </row>
    <row r="149" spans="1:3">
      <c r="A149" s="612" t="s">
        <v>1692</v>
      </c>
      <c r="B149" s="612" t="s">
        <v>1692</v>
      </c>
      <c r="C149" s="616">
        <v>0</v>
      </c>
    </row>
    <row r="150" spans="1:3">
      <c r="A150" s="612" t="s">
        <v>1693</v>
      </c>
      <c r="B150" s="612" t="s">
        <v>1693</v>
      </c>
      <c r="C150" s="616">
        <v>0</v>
      </c>
    </row>
    <row r="151" spans="1:3">
      <c r="A151" s="612" t="s">
        <v>1694</v>
      </c>
      <c r="B151" s="612" t="s">
        <v>1694</v>
      </c>
      <c r="C151" s="616">
        <v>0</v>
      </c>
    </row>
    <row r="152" spans="1:3">
      <c r="A152" s="612" t="s">
        <v>1695</v>
      </c>
      <c r="B152" s="612" t="s">
        <v>1696</v>
      </c>
      <c r="C152" s="616">
        <v>0</v>
      </c>
    </row>
    <row r="153" spans="1:3">
      <c r="A153" s="612" t="s">
        <v>1697</v>
      </c>
      <c r="B153" s="612" t="s">
        <v>1697</v>
      </c>
      <c r="C153" s="616">
        <v>0</v>
      </c>
    </row>
    <row r="154" spans="1:3">
      <c r="A154" s="612" t="s">
        <v>1698</v>
      </c>
      <c r="B154" s="612" t="s">
        <v>1698</v>
      </c>
      <c r="C154" s="616">
        <v>0</v>
      </c>
    </row>
    <row r="155" spans="1:3">
      <c r="A155" s="612" t="s">
        <v>1699</v>
      </c>
      <c r="B155" s="612" t="s">
        <v>1699</v>
      </c>
      <c r="C155" s="616">
        <v>0</v>
      </c>
    </row>
    <row r="156" spans="1:3">
      <c r="A156" s="612" t="s">
        <v>1700</v>
      </c>
      <c r="B156" s="612" t="s">
        <v>1701</v>
      </c>
      <c r="C156" s="616">
        <v>0</v>
      </c>
    </row>
    <row r="157" spans="1:3">
      <c r="A157" s="612" t="s">
        <v>1702</v>
      </c>
      <c r="B157" s="612" t="s">
        <v>1702</v>
      </c>
      <c r="C157" s="616">
        <v>0</v>
      </c>
    </row>
    <row r="158" spans="1:3">
      <c r="A158" s="612" t="s">
        <v>1703</v>
      </c>
      <c r="B158" s="612" t="s">
        <v>1703</v>
      </c>
      <c r="C158" s="616">
        <v>0</v>
      </c>
    </row>
    <row r="159" spans="1:3">
      <c r="A159" s="612" t="s">
        <v>1704</v>
      </c>
      <c r="B159" s="612" t="s">
        <v>1705</v>
      </c>
      <c r="C159" s="616">
        <v>0</v>
      </c>
    </row>
    <row r="160" spans="1:3">
      <c r="A160" s="612" t="s">
        <v>1706</v>
      </c>
      <c r="B160" s="612" t="s">
        <v>1706</v>
      </c>
      <c r="C160" s="616">
        <v>0</v>
      </c>
    </row>
    <row r="161" spans="1:3">
      <c r="A161" s="612" t="s">
        <v>1707</v>
      </c>
      <c r="B161" s="612" t="s">
        <v>1708</v>
      </c>
      <c r="C161" s="616">
        <v>0</v>
      </c>
    </row>
  </sheetData>
  <autoFilter ref="B2:C2" xr:uid="{00000000-0009-0000-0000-000005000000}">
    <sortState xmlns:xlrd2="http://schemas.microsoft.com/office/spreadsheetml/2017/richdata2" ref="B3:C160">
      <sortCondition sortBy="cellColor" ref="C2" dxfId="0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LLM</vt:lpstr>
      <vt:lpstr>quantitative answers</vt:lpstr>
      <vt:lpstr>gp dupont</vt:lpstr>
      <vt:lpstr>summary dupont</vt:lpstr>
      <vt:lpstr>momentum</vt:lpstr>
      <vt:lpstr>pedigree</vt:lpstr>
      <vt:lpstr>'gp dupont'!Print_Area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Green</dc:creator>
  <cp:lastModifiedBy>Noah Alex</cp:lastModifiedBy>
  <cp:lastPrinted>2024-01-26T17:54:44Z</cp:lastPrinted>
  <dcterms:created xsi:type="dcterms:W3CDTF">2016-02-01T16:12:49Z</dcterms:created>
  <dcterms:modified xsi:type="dcterms:W3CDTF">2024-09-19T05:12:32Z</dcterms:modified>
</cp:coreProperties>
</file>